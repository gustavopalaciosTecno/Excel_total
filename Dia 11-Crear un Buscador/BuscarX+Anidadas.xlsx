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TAVO\Documents\Cursos Udemy\ExcelTotal\Dia 11-Crear un Buscador\"/>
    </mc:Choice>
  </mc:AlternateContent>
  <xr:revisionPtr revIDLastSave="0" documentId="13_ncr:1_{F90C44FA-7107-400E-BE52-1C01DD7F59E5}" xr6:coauthVersionLast="47" xr6:coauthVersionMax="47" xr10:uidLastSave="{00000000-0000-0000-0000-000000000000}"/>
  <bookViews>
    <workbookView xWindow="-108" yWindow="-108" windowWidth="23256" windowHeight="13896" xr2:uid="{4524EB6D-7D15-4170-AAFD-6D2E348720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 a="1"/>
  <c r="D3" i="1" s="1"/>
  <c r="H6" i="1" a="1"/>
  <c r="H6" i="1" s="1"/>
  <c r="I6" i="1" s="1" a="1"/>
  <c r="I6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<sst xmlns="http://schemas.openxmlformats.org/spreadsheetml/2006/main" count="13" uniqueCount="12">
  <si>
    <t>Combustible</t>
  </si>
  <si>
    <t>Alquiler</t>
  </si>
  <si>
    <t>Impuestos</t>
  </si>
  <si>
    <t>Insumos</t>
  </si>
  <si>
    <t>Reparaciones</t>
  </si>
  <si>
    <t>Publicidad</t>
  </si>
  <si>
    <t>Rubro</t>
  </si>
  <si>
    <t>Año</t>
  </si>
  <si>
    <t>Concepto</t>
  </si>
  <si>
    <t>Valor</t>
  </si>
  <si>
    <t>BUSCARX-1</t>
  </si>
  <si>
    <t>BUSCARX-2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</si>
</sst>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\ * #,##0.00_-;\-&quot;$&quot;\ * #,##0.00_-;_-&quot;$&quot;\ * &quot;-&quot;??_-;_-@_-"/>
    <numFmt numFmtId="165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165" fontId="0" fillId="0" borderId="1" xfId="1" applyNumberFormat="1" applyFont="1" applyBorder="1"/>
    <xf numFmtId="164" fontId="0" fillId="0" borderId="0" xfId="1" applyFont="1"/>
    <xf numFmtId="14" fontId="3" fillId="0" borderId="0" xfId="0" applyNumberFormat="1" applyFont="1" applyAlignment="1">
      <alignment horizontal="center"/>
    </xf>
    <xf numFmtId="164" fontId="3" fillId="0" borderId="0" xfId="1" applyFont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20CBC-63B4-4C47-82BD-BF0BC51258E9}">
  <dimension ref="A2:N11"/>
  <sheetViews>
    <sheetView tabSelected="1" workbookViewId="0">
      <selection activeCell="K11" sqref="K11"/>
    </sheetView>
  </sheetViews>
  <sheetFormatPr baseColWidth="10" defaultRowHeight="14.4" x14ac:dyDescent="0.3"/>
  <cols>
    <col min="1" max="6" width="18.77734375" customWidth="1"/>
    <col min="7" max="7" width="3.5546875" customWidth="1"/>
    <col min="8" max="8" width="14.21875" bestFit="1" customWidth="1"/>
    <col min="10" max="14" width="14.44140625" bestFit="1" customWidth="1"/>
  </cols>
  <sheetData>
    <row r="2" spans="1:14" x14ac:dyDescent="0.3">
      <c r="B2" s="3" t="s">
        <v>7</v>
      </c>
      <c r="C2" s="3" t="s">
        <v>8</v>
      </c>
      <c r="D2" s="3" t="s">
        <v>9</v>
      </c>
    </row>
    <row r="3" spans="1:14" ht="15.75" customHeight="1" x14ac:dyDescent="0.3">
      <c r="B3" s="1">
        <v>2016</v>
      </c>
      <c r="C3" s="1" t="s">
        <v>3</v>
      </c>
      <c r="D3" s="5" cm="1">
        <f t="array" ref="D3">_xlfn.XLOOKUP(C3,A6:A11,_xlfn.XLOOKUP(B3,B5:F5,B6:F11))</f>
        <v>33617</v>
      </c>
    </row>
    <row r="5" spans="1:14" s="2" customFormat="1" x14ac:dyDescent="0.3">
      <c r="A5" s="3" t="s">
        <v>6</v>
      </c>
      <c r="B5" s="4">
        <v>2015</v>
      </c>
      <c r="C5" s="4">
        <v>2016</v>
      </c>
      <c r="D5" s="4">
        <v>2017</v>
      </c>
      <c r="E5" s="4">
        <v>2018</v>
      </c>
      <c r="F5" s="4">
        <v>2019</v>
      </c>
      <c r="H5" s="7" t="s">
        <v>10</v>
      </c>
      <c r="I5" s="2" t="s">
        <v>11</v>
      </c>
      <c r="J5" s="8"/>
      <c r="K5" s="8"/>
      <c r="L5" s="8"/>
      <c r="M5" s="8"/>
      <c r="N5" s="8"/>
    </row>
    <row r="6" spans="1:14" x14ac:dyDescent="0.3">
      <c r="A6" s="1" t="s">
        <v>0</v>
      </c>
      <c r="B6" s="5">
        <v>109193</v>
      </c>
      <c r="C6" s="5">
        <v>107532</v>
      </c>
      <c r="D6" s="5">
        <v>138801</v>
      </c>
      <c r="E6" s="5">
        <v>102233</v>
      </c>
      <c r="F6" s="5">
        <v>100995</v>
      </c>
      <c r="H6" s="6" cm="1">
        <f t="array" ref="H6:H11">_xlfn.XLOOKUP(B3,B5:F5,B6:F11)</f>
        <v>107532</v>
      </c>
      <c r="I6" cm="1">
        <f t="array" ref="I6">_xlfn.XLOOKUP(C3,A6:A11,_xlfn.ANCHORARRAY(H6))</f>
        <v>33617</v>
      </c>
    </row>
    <row r="7" spans="1:14" x14ac:dyDescent="0.3">
      <c r="A7" s="1" t="s">
        <v>1</v>
      </c>
      <c r="B7" s="5">
        <v>1035445</v>
      </c>
      <c r="C7" s="5">
        <v>1312156</v>
      </c>
      <c r="D7" s="5">
        <v>1375379</v>
      </c>
      <c r="E7" s="5">
        <v>1476327</v>
      </c>
      <c r="F7" s="5">
        <v>1467849</v>
      </c>
      <c r="H7" s="6">
        <v>1312156</v>
      </c>
    </row>
    <row r="8" spans="1:14" x14ac:dyDescent="0.3">
      <c r="A8" s="1" t="s">
        <v>2</v>
      </c>
      <c r="B8" s="5">
        <v>89812</v>
      </c>
      <c r="C8" s="5">
        <v>80209</v>
      </c>
      <c r="D8" s="5">
        <v>60029</v>
      </c>
      <c r="E8" s="5">
        <v>87316</v>
      </c>
      <c r="F8" s="5">
        <v>75184</v>
      </c>
      <c r="H8" s="6">
        <v>80209</v>
      </c>
    </row>
    <row r="9" spans="1:14" x14ac:dyDescent="0.3">
      <c r="A9" s="1" t="s">
        <v>3</v>
      </c>
      <c r="B9" s="5">
        <v>38862</v>
      </c>
      <c r="C9" s="5">
        <v>33617</v>
      </c>
      <c r="D9" s="5">
        <v>30803</v>
      </c>
      <c r="E9" s="5">
        <v>43058</v>
      </c>
      <c r="F9" s="5">
        <v>41921</v>
      </c>
      <c r="H9" s="6">
        <v>33617</v>
      </c>
    </row>
    <row r="10" spans="1:14" x14ac:dyDescent="0.3">
      <c r="A10" s="1" t="s">
        <v>4</v>
      </c>
      <c r="B10" s="5">
        <v>9020</v>
      </c>
      <c r="C10" s="5">
        <v>10212</v>
      </c>
      <c r="D10" s="5">
        <v>9093</v>
      </c>
      <c r="E10" s="5">
        <v>10083</v>
      </c>
      <c r="F10" s="5">
        <v>8727</v>
      </c>
      <c r="H10" s="6">
        <v>10212</v>
      </c>
    </row>
    <row r="11" spans="1:14" x14ac:dyDescent="0.3">
      <c r="A11" s="1" t="s">
        <v>5</v>
      </c>
      <c r="B11" s="5">
        <v>13596</v>
      </c>
      <c r="C11" s="5">
        <v>21643</v>
      </c>
      <c r="D11" s="5">
        <v>15496</v>
      </c>
      <c r="E11" s="5">
        <v>14230</v>
      </c>
      <c r="F11" s="5">
        <v>12939</v>
      </c>
      <c r="H11">
        <v>21643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FedeG</dc:creator>
  <cp:lastModifiedBy>Gustavo Palacios</cp:lastModifiedBy>
  <dcterms:created xsi:type="dcterms:W3CDTF">2020-06-08T20:37:41Z</dcterms:created>
  <dcterms:modified xsi:type="dcterms:W3CDTF">2026-02-02T17:42:05Z</dcterms:modified>
</cp:coreProperties>
</file>