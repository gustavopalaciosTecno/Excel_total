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ía 12-Crear una Tabla de ventas de Ganacias\"/>
    </mc:Choice>
  </mc:AlternateContent>
  <xr:revisionPtr revIDLastSave="0" documentId="13_ncr:1_{8DED3890-8D7F-40CC-B564-30DD15256464}" xr6:coauthVersionLast="47" xr6:coauthVersionMax="47" xr10:uidLastSave="{00000000-0000-0000-0000-000000000000}"/>
  <bookViews>
    <workbookView xWindow="-108" yWindow="-108" windowWidth="23256" windowHeight="13896" xr2:uid="{1616BA29-B1BB-4795-B756-37F1F634BE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" i="1" l="1"/>
  <c r="J4" i="1"/>
  <c r="F20" i="1"/>
  <c r="E20" i="1"/>
  <c r="C20" i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8" i="1"/>
  <c r="F8" i="1"/>
  <c r="C8" i="1"/>
  <c r="F3" i="1"/>
  <c r="F4" i="1"/>
  <c r="F5" i="1"/>
  <c r="F6" i="1"/>
  <c r="F7" i="1"/>
  <c r="F2" i="1"/>
  <c r="E3" i="1"/>
  <c r="E4" i="1"/>
  <c r="E5" i="1"/>
  <c r="E6" i="1"/>
  <c r="E7" i="1"/>
  <c r="E2" i="1"/>
  <c r="K3" i="1"/>
  <c r="J3" i="1"/>
</calcChain>
</file>

<file path=xl/sharedStrings.xml><?xml version="1.0" encoding="utf-8"?>
<sst xmlns="http://schemas.openxmlformats.org/spreadsheetml/2006/main" count="41" uniqueCount="21">
  <si>
    <t>Región</t>
  </si>
  <si>
    <t>Norte</t>
  </si>
  <si>
    <t>Sur</t>
  </si>
  <si>
    <t>Este</t>
  </si>
  <si>
    <t>Oeste</t>
  </si>
  <si>
    <t>Vendedor</t>
  </si>
  <si>
    <t>Porcentaje Comisión</t>
  </si>
  <si>
    <t>Monto Comisión</t>
  </si>
  <si>
    <t>Monto Vendido</t>
  </si>
  <si>
    <t>José</t>
  </si>
  <si>
    <t>Roberto</t>
  </si>
  <si>
    <t>Mariela</t>
  </si>
  <si>
    <t>Erika</t>
  </si>
  <si>
    <t>Darío</t>
  </si>
  <si>
    <t>Laura</t>
  </si>
  <si>
    <t>Ganancia</t>
  </si>
  <si>
    <t>SUMA MONTO VENDIDO</t>
  </si>
  <si>
    <t>Datos</t>
  </si>
  <si>
    <t>Tabla</t>
  </si>
  <si>
    <t>SUMA DE TOTALES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</si>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</sst>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.00_-;\-&quot;$&quot;\ * #,##0.00_-;_-&quot;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1" applyFont="1"/>
    <xf numFmtId="0" fontId="2" fillId="3" borderId="0" xfId="0" applyFont="1" applyFill="1"/>
    <xf numFmtId="0" fontId="3" fillId="0" borderId="2" xfId="0" applyFont="1" applyBorder="1"/>
    <xf numFmtId="164" fontId="3" fillId="0" borderId="2" xfId="1" applyFont="1" applyBorder="1"/>
    <xf numFmtId="9" fontId="3" fillId="0" borderId="2" xfId="0" applyNumberFormat="1" applyFont="1" applyBorder="1"/>
    <xf numFmtId="0" fontId="3" fillId="0" borderId="0" xfId="0" applyFont="1"/>
    <xf numFmtId="164" fontId="3" fillId="0" borderId="0" xfId="0" applyNumberFormat="1" applyFont="1"/>
    <xf numFmtId="10" fontId="4" fillId="0" borderId="0" xfId="0" applyNumberFormat="1" applyFont="1"/>
    <xf numFmtId="164" fontId="3" fillId="0" borderId="0" xfId="1" applyFont="1"/>
    <xf numFmtId="9" fontId="3" fillId="0" borderId="0" xfId="0" applyNumberFormat="1" applyFont="1"/>
    <xf numFmtId="164" fontId="4" fillId="0" borderId="0" xfId="0" applyNumberFormat="1" applyFont="1"/>
    <xf numFmtId="164" fontId="3" fillId="0" borderId="0" xfId="1" applyNumberFormat="1" applyFont="1"/>
    <xf numFmtId="164" fontId="4" fillId="0" borderId="0" xfId="1" applyFont="1"/>
    <xf numFmtId="0" fontId="5" fillId="2" borderId="1" xfId="0" applyFont="1" applyFill="1" applyBorder="1"/>
  </cellXfs>
  <cellStyles count="2">
    <cellStyle name="Moneda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28F955-650C-4A2A-A662-D39FB8BFCBB6}" name="ventas" displayName="ventas" ref="A13:F20" totalsRowCount="1" headerRowDxfId="10" dataDxfId="8" totalsRowDxfId="9" dataCellStyle="Moneda">
  <autoFilter ref="A13:F19" xr:uid="{BE05C019-0AB1-414D-A7D6-EEF87C67A810}"/>
  <tableColumns count="6">
    <tableColumn id="1" xr3:uid="{C27E00CB-BB5E-4ECF-83E2-7D6726CD0631}" name="Vendedor" totalsRowLabel="Total" dataDxfId="14" totalsRowDxfId="5"/>
    <tableColumn id="3" xr3:uid="{6E983F61-86D8-476C-ACA4-C427A5874017}" name="Región" dataDxfId="13" totalsRowDxfId="4"/>
    <tableColumn id="4" xr3:uid="{EB69CC50-6315-45F0-9021-57496BE582D1}" name="Monto Vendido" totalsRowFunction="sum" dataDxfId="12" totalsRowDxfId="3" dataCellStyle="Moneda" totalsRowCellStyle="Moneda"/>
    <tableColumn id="5" xr3:uid="{7671B971-F38F-4A08-AFAE-1D1EC0FB895C}" name="Porcentaje Comisión" dataDxfId="11" totalsRowDxfId="2"/>
    <tableColumn id="6" xr3:uid="{314102DD-B0D7-4651-90C5-9E4EF9F920CB}" name="Monto Comisión" totalsRowFunction="sum" dataDxfId="7" totalsRowDxfId="1" dataCellStyle="Moneda" totalsRowCellStyle="Moneda">
      <calculatedColumnFormula>ventas[[#This Row],[Monto Vendido]]*ventas[[#This Row],[Porcentaje Comisión]]</calculatedColumnFormula>
    </tableColumn>
    <tableColumn id="7" xr3:uid="{72D2F414-78F5-4EBE-B4D9-A807E4D841FE}" name="Ganancia" totalsRowFunction="sum" dataDxfId="6" totalsRowDxfId="0" dataCellStyle="Moneda" totalsRowCellStyle="Moneda">
      <calculatedColumnFormula>ventas[[#This Row],[Monto Comisión]]-ventas[[#This Row],[Monto Vendido]]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24864-37C1-4A36-B903-EDFB131ED1F2}">
  <dimension ref="A1:K20"/>
  <sheetViews>
    <sheetView tabSelected="1" topLeftCell="B1" workbookViewId="0">
      <selection activeCell="K10" sqref="K10"/>
    </sheetView>
  </sheetViews>
  <sheetFormatPr baseColWidth="10" defaultRowHeight="15.6" x14ac:dyDescent="0.3"/>
  <cols>
    <col min="1" max="6" width="20.77734375" style="6" customWidth="1"/>
    <col min="7" max="8" width="5.109375" customWidth="1"/>
    <col min="9" max="9" width="24.44140625" customWidth="1"/>
    <col min="10" max="11" width="22" customWidth="1"/>
  </cols>
  <sheetData>
    <row r="1" spans="1:11" x14ac:dyDescent="0.3">
      <c r="A1" s="3" t="s">
        <v>5</v>
      </c>
      <c r="B1" s="3" t="s">
        <v>0</v>
      </c>
      <c r="C1" s="3" t="s">
        <v>8</v>
      </c>
      <c r="D1" s="3" t="s">
        <v>6</v>
      </c>
      <c r="E1" s="3" t="s">
        <v>7</v>
      </c>
      <c r="F1" s="3" t="s">
        <v>15</v>
      </c>
    </row>
    <row r="2" spans="1:11" x14ac:dyDescent="0.3">
      <c r="A2" s="3" t="s">
        <v>9</v>
      </c>
      <c r="B2" s="3" t="s">
        <v>1</v>
      </c>
      <c r="C2" s="4">
        <v>260</v>
      </c>
      <c r="D2" s="5">
        <v>0.1</v>
      </c>
      <c r="E2" s="4">
        <f>C2*D2</f>
        <v>26</v>
      </c>
      <c r="F2" s="4">
        <f>E2-C2</f>
        <v>-234</v>
      </c>
      <c r="G2" s="1"/>
      <c r="J2" s="3" t="s">
        <v>17</v>
      </c>
      <c r="K2" s="14" t="s">
        <v>18</v>
      </c>
    </row>
    <row r="3" spans="1:11" x14ac:dyDescent="0.3">
      <c r="A3" s="3" t="s">
        <v>10</v>
      </c>
      <c r="B3" s="3" t="s">
        <v>2</v>
      </c>
      <c r="C3" s="4">
        <v>660</v>
      </c>
      <c r="D3" s="5">
        <v>0.15</v>
      </c>
      <c r="E3" s="4">
        <f t="shared" ref="E3:E7" si="0">C3*D3</f>
        <v>99</v>
      </c>
      <c r="F3" s="4">
        <f t="shared" ref="F3:F7" si="1">E3-C3</f>
        <v>-561</v>
      </c>
      <c r="G3" s="1"/>
      <c r="I3" s="2" t="s">
        <v>16</v>
      </c>
      <c r="J3" s="11">
        <f>SUM(C2:C7)</f>
        <v>3970</v>
      </c>
      <c r="K3" s="11">
        <f>SUM(ventas[Monto Vendido])</f>
        <v>3970</v>
      </c>
    </row>
    <row r="4" spans="1:11" x14ac:dyDescent="0.3">
      <c r="A4" s="3" t="s">
        <v>11</v>
      </c>
      <c r="B4" s="3" t="s">
        <v>3</v>
      </c>
      <c r="C4" s="4">
        <v>940</v>
      </c>
      <c r="D4" s="5">
        <v>0.15</v>
      </c>
      <c r="E4" s="4">
        <f t="shared" si="0"/>
        <v>141</v>
      </c>
      <c r="F4" s="4">
        <f t="shared" si="1"/>
        <v>-799</v>
      </c>
      <c r="G4" s="1"/>
      <c r="I4" s="2" t="s">
        <v>19</v>
      </c>
      <c r="J4" s="11">
        <f>SUM(C8,E8,F8)</f>
        <v>1140.3999999999996</v>
      </c>
      <c r="K4" s="13">
        <f>SUM(ventas[#Totals])</f>
        <v>1140.3999999999996</v>
      </c>
    </row>
    <row r="5" spans="1:11" x14ac:dyDescent="0.3">
      <c r="A5" s="3" t="s">
        <v>12</v>
      </c>
      <c r="B5" s="3" t="s">
        <v>4</v>
      </c>
      <c r="C5" s="4">
        <v>410</v>
      </c>
      <c r="D5" s="5">
        <v>0.12</v>
      </c>
      <c r="E5" s="4">
        <f t="shared" si="0"/>
        <v>49.199999999999996</v>
      </c>
      <c r="F5" s="4">
        <f t="shared" si="1"/>
        <v>-360.8</v>
      </c>
      <c r="G5" s="1"/>
    </row>
    <row r="6" spans="1:11" x14ac:dyDescent="0.3">
      <c r="A6" s="3" t="s">
        <v>13</v>
      </c>
      <c r="B6" s="3" t="s">
        <v>1</v>
      </c>
      <c r="C6" s="4">
        <v>800</v>
      </c>
      <c r="D6" s="5">
        <v>0.15</v>
      </c>
      <c r="E6" s="4">
        <f t="shared" si="0"/>
        <v>120</v>
      </c>
      <c r="F6" s="4">
        <f t="shared" si="1"/>
        <v>-680</v>
      </c>
      <c r="G6" s="1"/>
    </row>
    <row r="7" spans="1:11" x14ac:dyDescent="0.3">
      <c r="A7" s="3" t="s">
        <v>14</v>
      </c>
      <c r="B7" s="3" t="s">
        <v>2</v>
      </c>
      <c r="C7" s="4">
        <v>900</v>
      </c>
      <c r="D7" s="5">
        <v>0.15</v>
      </c>
      <c r="E7" s="4">
        <f t="shared" si="0"/>
        <v>135</v>
      </c>
      <c r="F7" s="4">
        <f t="shared" si="1"/>
        <v>-765</v>
      </c>
      <c r="G7" s="1"/>
    </row>
    <row r="8" spans="1:11" x14ac:dyDescent="0.3">
      <c r="C8" s="7">
        <f>SUM(C2:C7)</f>
        <v>3970</v>
      </c>
      <c r="D8" s="8"/>
      <c r="E8" s="7">
        <f>SUM(E2:E7)</f>
        <v>570.20000000000005</v>
      </c>
      <c r="F8" s="7">
        <f>SUM(F2:F7)</f>
        <v>-3399.8</v>
      </c>
    </row>
    <row r="13" spans="1:11" x14ac:dyDescent="0.3">
      <c r="A13" s="6" t="s">
        <v>5</v>
      </c>
      <c r="B13" s="6" t="s">
        <v>0</v>
      </c>
      <c r="C13" s="6" t="s">
        <v>8</v>
      </c>
      <c r="D13" s="6" t="s">
        <v>6</v>
      </c>
      <c r="E13" s="6" t="s">
        <v>7</v>
      </c>
      <c r="F13" s="6" t="s">
        <v>15</v>
      </c>
    </row>
    <row r="14" spans="1:11" x14ac:dyDescent="0.3">
      <c r="A14" s="6" t="s">
        <v>9</v>
      </c>
      <c r="B14" s="6" t="s">
        <v>1</v>
      </c>
      <c r="C14" s="9">
        <v>260</v>
      </c>
      <c r="D14" s="10">
        <v>0.1</v>
      </c>
      <c r="E14" s="9">
        <f>ventas[[#This Row],[Monto Vendido]]*ventas[[#This Row],[Porcentaje Comisión]]</f>
        <v>26</v>
      </c>
      <c r="F14" s="9">
        <f>ventas[[#This Row],[Monto Comisión]]-ventas[[#This Row],[Monto Vendido]]</f>
        <v>-234</v>
      </c>
      <c r="G14" s="1"/>
    </row>
    <row r="15" spans="1:11" x14ac:dyDescent="0.3">
      <c r="A15" s="6" t="s">
        <v>10</v>
      </c>
      <c r="B15" s="6" t="s">
        <v>2</v>
      </c>
      <c r="C15" s="9">
        <v>660</v>
      </c>
      <c r="D15" s="10">
        <v>0.15</v>
      </c>
      <c r="E15" s="9">
        <f>ventas[[#This Row],[Monto Vendido]]*ventas[[#This Row],[Porcentaje Comisión]]</f>
        <v>99</v>
      </c>
      <c r="F15" s="9">
        <f>ventas[[#This Row],[Monto Comisión]]-ventas[[#This Row],[Monto Vendido]]</f>
        <v>-561</v>
      </c>
      <c r="G15" s="1"/>
    </row>
    <row r="16" spans="1:11" x14ac:dyDescent="0.3">
      <c r="A16" s="6" t="s">
        <v>11</v>
      </c>
      <c r="B16" s="6" t="s">
        <v>3</v>
      </c>
      <c r="C16" s="9">
        <v>940</v>
      </c>
      <c r="D16" s="10">
        <v>0.15</v>
      </c>
      <c r="E16" s="9">
        <f>ventas[[#This Row],[Monto Vendido]]*ventas[[#This Row],[Porcentaje Comisión]]</f>
        <v>141</v>
      </c>
      <c r="F16" s="9">
        <f>ventas[[#This Row],[Monto Comisión]]-ventas[[#This Row],[Monto Vendido]]</f>
        <v>-799</v>
      </c>
      <c r="G16" s="1"/>
    </row>
    <row r="17" spans="1:7" x14ac:dyDescent="0.3">
      <c r="A17" s="6" t="s">
        <v>12</v>
      </c>
      <c r="B17" s="6" t="s">
        <v>4</v>
      </c>
      <c r="C17" s="9">
        <v>410</v>
      </c>
      <c r="D17" s="10">
        <v>0.12</v>
      </c>
      <c r="E17" s="9">
        <f>ventas[[#This Row],[Monto Vendido]]*ventas[[#This Row],[Porcentaje Comisión]]</f>
        <v>49.199999999999996</v>
      </c>
      <c r="F17" s="9">
        <f>ventas[[#This Row],[Monto Comisión]]-ventas[[#This Row],[Monto Vendido]]</f>
        <v>-360.8</v>
      </c>
      <c r="G17" s="1"/>
    </row>
    <row r="18" spans="1:7" x14ac:dyDescent="0.3">
      <c r="A18" s="6" t="s">
        <v>13</v>
      </c>
      <c r="B18" s="6" t="s">
        <v>1</v>
      </c>
      <c r="C18" s="9">
        <v>800</v>
      </c>
      <c r="D18" s="10">
        <v>0.15</v>
      </c>
      <c r="E18" s="9">
        <f>ventas[[#This Row],[Monto Vendido]]*ventas[[#This Row],[Porcentaje Comisión]]</f>
        <v>120</v>
      </c>
      <c r="F18" s="9">
        <f>ventas[[#This Row],[Monto Comisión]]-ventas[[#This Row],[Monto Vendido]]</f>
        <v>-680</v>
      </c>
      <c r="G18" s="1"/>
    </row>
    <row r="19" spans="1:7" x14ac:dyDescent="0.3">
      <c r="A19" s="6" t="s">
        <v>14</v>
      </c>
      <c r="B19" s="6" t="s">
        <v>2</v>
      </c>
      <c r="C19" s="9">
        <v>900</v>
      </c>
      <c r="D19" s="10">
        <v>0.15</v>
      </c>
      <c r="E19" s="9">
        <f>ventas[[#This Row],[Monto Vendido]]*ventas[[#This Row],[Porcentaje Comisión]]</f>
        <v>135</v>
      </c>
      <c r="F19" s="9">
        <f>ventas[[#This Row],[Monto Comisión]]-ventas[[#This Row],[Monto Vendido]]</f>
        <v>-765</v>
      </c>
      <c r="G19" s="1"/>
    </row>
    <row r="20" spans="1:7" x14ac:dyDescent="0.3">
      <c r="A20" s="6" t="s">
        <v>20</v>
      </c>
      <c r="C20" s="9">
        <f>SUBTOTAL(109,ventas[Monto Vendido])</f>
        <v>3970</v>
      </c>
      <c r="D20" s="10"/>
      <c r="E20" s="12">
        <f>SUBTOTAL(109,ventas[Monto Comisión])</f>
        <v>570.20000000000005</v>
      </c>
      <c r="F20" s="12">
        <f>SUBTOTAL(109,ventas[Ganancia])</f>
        <v>-3399.8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Gustavo Palacios</cp:lastModifiedBy>
  <dcterms:created xsi:type="dcterms:W3CDTF">2020-06-18T17:09:56Z</dcterms:created>
  <dcterms:modified xsi:type="dcterms:W3CDTF">2026-02-09T12:50:44Z</dcterms:modified>
</cp:coreProperties>
</file>