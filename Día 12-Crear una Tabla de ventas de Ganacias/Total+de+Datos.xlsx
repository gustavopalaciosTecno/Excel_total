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12-Crear una Tabla de ventas de Ganacias\"/>
    </mc:Choice>
  </mc:AlternateContent>
  <xr:revisionPtr revIDLastSave="0" documentId="13_ncr:1_{1DCD5F96-6B27-4046-A682-5FA0202011DC}" xr6:coauthVersionLast="47" xr6:coauthVersionMax="47" xr10:uidLastSave="{00000000-0000-0000-0000-000000000000}"/>
  <bookViews>
    <workbookView xWindow="-108" yWindow="-108" windowWidth="23256" windowHeight="13896" xr2:uid="{3918A3F5-F553-4C97-8476-512AD07735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" i="1" l="1"/>
  <c r="G20" i="1"/>
  <c r="H20" i="1"/>
  <c r="F20" i="1"/>
  <c r="G2" i="1"/>
  <c r="H2" i="1" s="1"/>
  <c r="I2" i="1" s="1"/>
  <c r="G3" i="1"/>
  <c r="H3" i="1" s="1"/>
  <c r="I3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</calcChain>
</file>

<file path=xl/sharedStrings.xml><?xml version="1.0" encoding="utf-8"?>
<sst xmlns="http://schemas.openxmlformats.org/spreadsheetml/2006/main" count="46" uniqueCount="22">
  <si>
    <t>Fecha Operación</t>
  </si>
  <si>
    <t>Tipo de Inmueble</t>
  </si>
  <si>
    <t>Costos Operativos</t>
  </si>
  <si>
    <t>Monto Total Operación</t>
  </si>
  <si>
    <t>Beneficio Propietario</t>
  </si>
  <si>
    <t>Ganancia</t>
  </si>
  <si>
    <t>Vendedor</t>
  </si>
  <si>
    <t>Depósito</t>
  </si>
  <si>
    <t>Romina</t>
  </si>
  <si>
    <t>Departamento</t>
  </si>
  <si>
    <t>Arturo</t>
  </si>
  <si>
    <t>Local Comercial</t>
  </si>
  <si>
    <t>Carlos</t>
  </si>
  <si>
    <t>Terreno</t>
  </si>
  <si>
    <t>Iván</t>
  </si>
  <si>
    <t>Ángeles</t>
  </si>
  <si>
    <t>Oficinas</t>
  </si>
  <si>
    <t>Sabrina</t>
  </si>
  <si>
    <t>Casa</t>
  </si>
  <si>
    <t>ID</t>
  </si>
  <si>
    <t>Comisión Vendedor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</si>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</sst>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Font="1"/>
    <xf numFmtId="0" fontId="2" fillId="0" borderId="0" xfId="0" applyFont="1"/>
    <xf numFmtId="165" fontId="2" fillId="0" borderId="0" xfId="0" applyNumberFormat="1" applyFont="1"/>
    <xf numFmtId="164" fontId="2" fillId="0" borderId="0" xfId="1" applyFont="1"/>
    <xf numFmtId="164" fontId="0" fillId="0" borderId="0" xfId="0" applyNumberFormat="1"/>
    <xf numFmtId="164" fontId="0" fillId="0" borderId="0" xfId="0" applyNumberFormat="1" applyFont="1"/>
  </cellXfs>
  <cellStyles count="2">
    <cellStyle name="Moneda" xfId="1" builtinId="4"/>
    <cellStyle name="Normal" xfId="0" builtinId="0"/>
  </cellStyles>
  <dxfs count="17">
    <dxf>
      <numFmt numFmtId="16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.00_-;\-&quot;$&quot;\ * #,##0.00_-;_-&quot;$&quot;\ * &quot;-&quot;??_-;_-@_-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&quot;$&quot;\ * #,##0.00_-;\-&quot;$&quot;\ * #,##0.00_-;_-&quot;$&quot;\ * &quot;-&quot;??_-;_-@_-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dd/mm/yyyy;@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dd/mm/yyyy;@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21E25-B580-49B5-9DAA-12E4BAA60148}" name="Operaciones" displayName="Operaciones" ref="A1:I20" totalsRowCount="1" headerRowDxfId="7" dataDxfId="5" totalsRowDxfId="6">
  <autoFilter ref="A1:I19" xr:uid="{67391471-90A9-4A97-99CA-0F841C63F8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06FBE20-EB36-4092-BC49-D53F51FC3DF1}" name="ID" totalsRowLabel="Total" dataDxfId="16"/>
    <tableColumn id="2" xr3:uid="{8798895E-61F6-48C0-BD45-16DDE68BE61D}" name="Fecha Operación" dataDxfId="15"/>
    <tableColumn id="9" xr3:uid="{9934C9E1-294F-430B-AA08-3A618CE8EAA7}" name="Vendedor" dataDxfId="14"/>
    <tableColumn id="3" xr3:uid="{2BEE0881-1125-4215-9716-DD022385E264}" name="Tipo de Inmueble" dataDxfId="13"/>
    <tableColumn id="6" xr3:uid="{FD23A4C0-5F5C-4ED7-9336-34FDE9EC4A7E}" name="Monto Total Operación" dataDxfId="12" totalsRowDxfId="4" dataCellStyle="Moneda"/>
    <tableColumn id="5" xr3:uid="{A4E3410D-F38F-454E-A155-4A18CCA982D0}" name="Costos Operativos" totalsRowFunction="sum" dataDxfId="11" totalsRowDxfId="3" dataCellStyle="Moneda"/>
    <tableColumn id="10" xr3:uid="{4F37B8B8-9912-4C21-8E91-BE06AF24260D}" name="Comisión Vendedor" totalsRowFunction="sum" dataDxfId="10" totalsRowDxfId="2" dataCellStyle="Moneda">
      <calculatedColumnFormula>Operaciones[[#This Row],[Monto Total Operación]]*0.03</calculatedColumnFormula>
    </tableColumn>
    <tableColumn id="7" xr3:uid="{1DE3EB3A-376F-4F89-9190-DA524AB4F2CD}" name="Beneficio Propietario" totalsRowFunction="sum" dataDxfId="9" totalsRowDxfId="1" dataCellStyle="Moneda">
      <calculatedColumnFormula>(Operaciones[[#This Row],[Monto Total Operación]]-Operaciones[[#This Row],[Costos Operativos]]-Operaciones[[#This Row],[Comisión Vendedor]])*0.9</calculatedColumnFormula>
    </tableColumn>
    <tableColumn id="8" xr3:uid="{C16652D2-9628-4618-A0B7-4B2783FD7C8E}" name="Ganancia" totalsRowFunction="sum" dataDxfId="8" totalsRowDxfId="0" dataCellStyle="Moneda">
      <calculatedColumnFormula>Operaciones[[#This Row],[Monto Total Operación]]-Operaciones[[#This Row],[Beneficio Propietario]]-Operaciones[[#This Row],[Costos Operativos]]-Operaciones[[#This Row],[Comisión Vendedor]]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2868-F820-4040-B6C7-2F444AD8F098}">
  <dimension ref="A1:J20"/>
  <sheetViews>
    <sheetView tabSelected="1" workbookViewId="0">
      <selection activeCell="H24" sqref="H24"/>
    </sheetView>
  </sheetViews>
  <sheetFormatPr baseColWidth="10" defaultRowHeight="15.6" x14ac:dyDescent="0.3"/>
  <cols>
    <col min="1" max="1" width="4.33203125" style="2" customWidth="1"/>
    <col min="2" max="2" width="15.6640625" style="3" bestFit="1" customWidth="1"/>
    <col min="3" max="3" width="12" style="2" customWidth="1"/>
    <col min="4" max="4" width="18.6640625" style="2" customWidth="1"/>
    <col min="5" max="7" width="23.6640625" style="4" customWidth="1"/>
    <col min="8" max="8" width="23.6640625" style="2" customWidth="1"/>
    <col min="9" max="9" width="23.6640625" style="4" customWidth="1"/>
    <col min="10" max="10" width="13" style="1" bestFit="1" customWidth="1"/>
  </cols>
  <sheetData>
    <row r="1" spans="1:10" x14ac:dyDescent="0.3">
      <c r="A1" s="2" t="s">
        <v>19</v>
      </c>
      <c r="B1" s="3" t="s">
        <v>0</v>
      </c>
      <c r="C1" s="2" t="s">
        <v>6</v>
      </c>
      <c r="D1" s="2" t="s">
        <v>1</v>
      </c>
      <c r="E1" s="4" t="s">
        <v>3</v>
      </c>
      <c r="F1" s="4" t="s">
        <v>2</v>
      </c>
      <c r="G1" s="4" t="s">
        <v>20</v>
      </c>
      <c r="H1" s="4" t="s">
        <v>4</v>
      </c>
      <c r="I1" s="4" t="s">
        <v>5</v>
      </c>
      <c r="J1"/>
    </row>
    <row r="2" spans="1:10" x14ac:dyDescent="0.3">
      <c r="A2" s="2">
        <v>1</v>
      </c>
      <c r="B2" s="3">
        <v>42540</v>
      </c>
      <c r="C2" s="2" t="s">
        <v>8</v>
      </c>
      <c r="D2" s="2" t="s">
        <v>7</v>
      </c>
      <c r="E2" s="4">
        <v>2170388</v>
      </c>
      <c r="F2" s="4">
        <v>84689.12</v>
      </c>
      <c r="G2" s="4">
        <f>Operaciones[[#This Row],[Monto Total Operación]]*0.03</f>
        <v>65111.64</v>
      </c>
      <c r="H2" s="4">
        <f>(Operaciones[[#This Row],[Monto Total Operación]]-Operaciones[[#This Row],[Costos Operativos]]-Operaciones[[#This Row],[Comisión Vendedor]])*0.9</f>
        <v>1818528.5160000001</v>
      </c>
      <c r="I2" s="4">
        <f>Operaciones[[#This Row],[Monto Total Operación]]-Operaciones[[#This Row],[Beneficio Propietario]]-Operaciones[[#This Row],[Costos Operativos]]-Operaciones[[#This Row],[Comisión Vendedor]]</f>
        <v>202058.72399999993</v>
      </c>
      <c r="J2"/>
    </row>
    <row r="3" spans="1:10" x14ac:dyDescent="0.3">
      <c r="A3" s="2">
        <v>2</v>
      </c>
      <c r="B3" s="3">
        <v>42479</v>
      </c>
      <c r="C3" s="2" t="s">
        <v>10</v>
      </c>
      <c r="D3" s="2" t="s">
        <v>9</v>
      </c>
      <c r="E3" s="4">
        <v>1981909</v>
      </c>
      <c r="F3" s="4">
        <v>77155.960000000006</v>
      </c>
      <c r="G3" s="4">
        <f>Operaciones[[#This Row],[Monto Total Operación]]*0.03</f>
        <v>59457.27</v>
      </c>
      <c r="H3" s="4">
        <f>(Operaciones[[#This Row],[Monto Total Operación]]-Operaciones[[#This Row],[Costos Operativos]]-Operaciones[[#This Row],[Comisión Vendedor]])*0.9</f>
        <v>1660766.193</v>
      </c>
      <c r="I3" s="4">
        <f>Operaciones[[#This Row],[Monto Total Operación]]-Operaciones[[#This Row],[Beneficio Propietario]]-Operaciones[[#This Row],[Costos Operativos]]-Operaciones[[#This Row],[Comisión Vendedor]]</f>
        <v>184529.57700000002</v>
      </c>
      <c r="J3"/>
    </row>
    <row r="4" spans="1:10" x14ac:dyDescent="0.3">
      <c r="A4" s="2">
        <v>3</v>
      </c>
      <c r="B4" s="3">
        <v>42682</v>
      </c>
      <c r="C4" s="2" t="s">
        <v>12</v>
      </c>
      <c r="D4" s="2" t="s">
        <v>11</v>
      </c>
      <c r="E4" s="4">
        <v>748901</v>
      </c>
      <c r="F4" s="4">
        <v>27367.64</v>
      </c>
      <c r="G4" s="4">
        <f>Operaciones[[#This Row],[Monto Total Operación]]*0.03</f>
        <v>22467.03</v>
      </c>
      <c r="H4" s="4">
        <f>(Operaciones[[#This Row],[Monto Total Operación]]-Operaciones[[#This Row],[Costos Operativos]]-Operaciones[[#This Row],[Comisión Vendedor]])*0.9</f>
        <v>629159.69699999993</v>
      </c>
      <c r="I4" s="4">
        <f>Operaciones[[#This Row],[Monto Total Operación]]-Operaciones[[#This Row],[Beneficio Propietario]]-Operaciones[[#This Row],[Costos Operativos]]-Operaciones[[#This Row],[Comisión Vendedor]]</f>
        <v>69906.633000000074</v>
      </c>
      <c r="J4"/>
    </row>
    <row r="5" spans="1:10" x14ac:dyDescent="0.3">
      <c r="A5" s="2">
        <v>4</v>
      </c>
      <c r="B5" s="3">
        <v>42487</v>
      </c>
      <c r="C5" s="2" t="s">
        <v>14</v>
      </c>
      <c r="D5" s="2" t="s">
        <v>13</v>
      </c>
      <c r="E5" s="4">
        <v>1851935</v>
      </c>
      <c r="F5" s="4">
        <v>71530</v>
      </c>
      <c r="G5" s="4">
        <f>Operaciones[[#This Row],[Monto Total Operación]]*0.03</f>
        <v>55558.049999999996</v>
      </c>
      <c r="H5" s="4">
        <f>(Operaciones[[#This Row],[Monto Total Operación]]-Operaciones[[#This Row],[Costos Operativos]]-Operaciones[[#This Row],[Comisión Vendedor]])*0.9</f>
        <v>1552362.2549999999</v>
      </c>
      <c r="I5" s="4">
        <f>Operaciones[[#This Row],[Monto Total Operación]]-Operaciones[[#This Row],[Beneficio Propietario]]-Operaciones[[#This Row],[Costos Operativos]]-Operaciones[[#This Row],[Comisión Vendedor]]</f>
        <v>172484.69500000012</v>
      </c>
      <c r="J5"/>
    </row>
    <row r="6" spans="1:10" x14ac:dyDescent="0.3">
      <c r="A6" s="2">
        <v>5</v>
      </c>
      <c r="B6" s="3">
        <v>42561</v>
      </c>
      <c r="C6" s="2" t="s">
        <v>15</v>
      </c>
      <c r="D6" s="2" t="s">
        <v>9</v>
      </c>
      <c r="E6" s="4">
        <v>1174509</v>
      </c>
      <c r="F6" s="4">
        <v>44516.959999999999</v>
      </c>
      <c r="G6" s="4">
        <f>Operaciones[[#This Row],[Monto Total Operación]]*0.03</f>
        <v>35235.269999999997</v>
      </c>
      <c r="H6" s="4">
        <f>(Operaciones[[#This Row],[Monto Total Operación]]-Operaciones[[#This Row],[Costos Operativos]]-Operaciones[[#This Row],[Comisión Vendedor]])*0.9</f>
        <v>985281.09299999999</v>
      </c>
      <c r="I6" s="4">
        <f>Operaciones[[#This Row],[Monto Total Operación]]-Operaciones[[#This Row],[Beneficio Propietario]]-Operaciones[[#This Row],[Costos Operativos]]-Operaciones[[#This Row],[Comisión Vendedor]]</f>
        <v>109475.67700000003</v>
      </c>
      <c r="J6"/>
    </row>
    <row r="7" spans="1:10" x14ac:dyDescent="0.3">
      <c r="A7" s="2">
        <v>6</v>
      </c>
      <c r="B7" s="3">
        <v>42618</v>
      </c>
      <c r="C7" s="2" t="s">
        <v>10</v>
      </c>
      <c r="D7" s="2" t="s">
        <v>11</v>
      </c>
      <c r="E7" s="4">
        <v>989641</v>
      </c>
      <c r="F7" s="4">
        <v>37090.239999999998</v>
      </c>
      <c r="G7" s="4">
        <f>Operaciones[[#This Row],[Monto Total Operación]]*0.03</f>
        <v>29689.23</v>
      </c>
      <c r="H7" s="4">
        <f>(Operaciones[[#This Row],[Monto Total Operación]]-Operaciones[[#This Row],[Costos Operativos]]-Operaciones[[#This Row],[Comisión Vendedor]])*0.9</f>
        <v>830575.37700000009</v>
      </c>
      <c r="I7" s="4">
        <f>Operaciones[[#This Row],[Monto Total Operación]]-Operaciones[[#This Row],[Beneficio Propietario]]-Operaciones[[#This Row],[Costos Operativos]]-Operaciones[[#This Row],[Comisión Vendedor]]</f>
        <v>92286.152999999918</v>
      </c>
      <c r="J7"/>
    </row>
    <row r="8" spans="1:10" x14ac:dyDescent="0.3">
      <c r="A8" s="2">
        <v>7</v>
      </c>
      <c r="B8" s="3">
        <v>42528</v>
      </c>
      <c r="C8" s="2" t="s">
        <v>10</v>
      </c>
      <c r="D8" s="2" t="s">
        <v>16</v>
      </c>
      <c r="E8" s="4">
        <v>443171</v>
      </c>
      <c r="F8" s="4">
        <v>15565.44</v>
      </c>
      <c r="G8" s="4">
        <f>Operaciones[[#This Row],[Monto Total Operación]]*0.03</f>
        <v>13295.13</v>
      </c>
      <c r="H8" s="4">
        <f>(Operaciones[[#This Row],[Monto Total Operación]]-Operaciones[[#This Row],[Costos Operativos]]-Operaciones[[#This Row],[Comisión Vendedor]])*0.9</f>
        <v>372879.38699999999</v>
      </c>
      <c r="I8" s="4">
        <f>Operaciones[[#This Row],[Monto Total Operación]]-Operaciones[[#This Row],[Beneficio Propietario]]-Operaciones[[#This Row],[Costos Operativos]]-Operaciones[[#This Row],[Comisión Vendedor]]</f>
        <v>41431.043000000012</v>
      </c>
      <c r="J8"/>
    </row>
    <row r="9" spans="1:10" x14ac:dyDescent="0.3">
      <c r="A9" s="2">
        <v>8</v>
      </c>
      <c r="B9" s="3">
        <v>42674</v>
      </c>
      <c r="C9" s="2" t="s">
        <v>14</v>
      </c>
      <c r="D9" s="2" t="s">
        <v>9</v>
      </c>
      <c r="E9" s="4">
        <v>2194960</v>
      </c>
      <c r="F9" s="4">
        <v>85596</v>
      </c>
      <c r="G9" s="4">
        <f>Operaciones[[#This Row],[Monto Total Operación]]*0.03</f>
        <v>65848.800000000003</v>
      </c>
      <c r="H9" s="4">
        <f>(Operaciones[[#This Row],[Monto Total Operación]]-Operaciones[[#This Row],[Costos Operativos]]-Operaciones[[#This Row],[Comisión Vendedor]])*0.9</f>
        <v>1839163.68</v>
      </c>
      <c r="I9" s="4">
        <f>Operaciones[[#This Row],[Monto Total Operación]]-Operaciones[[#This Row],[Beneficio Propietario]]-Operaciones[[#This Row],[Costos Operativos]]-Operaciones[[#This Row],[Comisión Vendedor]]</f>
        <v>204351.52000000008</v>
      </c>
      <c r="J9"/>
    </row>
    <row r="10" spans="1:10" x14ac:dyDescent="0.3">
      <c r="A10" s="2">
        <v>9</v>
      </c>
      <c r="B10" s="3">
        <v>42732</v>
      </c>
      <c r="C10" s="2" t="s">
        <v>14</v>
      </c>
      <c r="D10" s="2" t="s">
        <v>13</v>
      </c>
      <c r="E10" s="4">
        <v>1060865</v>
      </c>
      <c r="F10" s="4">
        <v>40358.199999999997</v>
      </c>
      <c r="G10" s="4">
        <f>Operaciones[[#This Row],[Monto Total Operación]]*0.03</f>
        <v>31825.949999999997</v>
      </c>
      <c r="H10" s="4">
        <f>(Operaciones[[#This Row],[Monto Total Operación]]-Operaciones[[#This Row],[Costos Operativos]]-Operaciones[[#This Row],[Comisión Vendedor]])*0.9</f>
        <v>889812.76500000013</v>
      </c>
      <c r="I10" s="4">
        <f>Operaciones[[#This Row],[Monto Total Operación]]-Operaciones[[#This Row],[Beneficio Propietario]]-Operaciones[[#This Row],[Costos Operativos]]-Operaciones[[#This Row],[Comisión Vendedor]]</f>
        <v>98868.084999999875</v>
      </c>
      <c r="J10"/>
    </row>
    <row r="11" spans="1:10" x14ac:dyDescent="0.3">
      <c r="A11" s="2">
        <v>10</v>
      </c>
      <c r="B11" s="3">
        <v>42649</v>
      </c>
      <c r="C11" s="2" t="s">
        <v>12</v>
      </c>
      <c r="D11" s="2" t="s">
        <v>9</v>
      </c>
      <c r="E11" s="4">
        <v>2079253</v>
      </c>
      <c r="F11" s="4">
        <v>80843.72</v>
      </c>
      <c r="G11" s="4">
        <f>Operaciones[[#This Row],[Monto Total Operación]]*0.03</f>
        <v>62377.59</v>
      </c>
      <c r="H11" s="4">
        <f>(Operaciones[[#This Row],[Monto Total Operación]]-Operaciones[[#This Row],[Costos Operativos]]-Operaciones[[#This Row],[Comisión Vendedor]])*0.9</f>
        <v>1742428.5209999999</v>
      </c>
      <c r="I11" s="4">
        <f>Operaciones[[#This Row],[Monto Total Operación]]-Operaciones[[#This Row],[Beneficio Propietario]]-Operaciones[[#This Row],[Costos Operativos]]-Operaciones[[#This Row],[Comisión Vendedor]]</f>
        <v>193603.16900000005</v>
      </c>
      <c r="J11"/>
    </row>
    <row r="12" spans="1:10" x14ac:dyDescent="0.3">
      <c r="A12" s="2">
        <v>11</v>
      </c>
      <c r="B12" s="3">
        <v>42671</v>
      </c>
      <c r="C12" s="2" t="s">
        <v>10</v>
      </c>
      <c r="D12" s="2" t="s">
        <v>13</v>
      </c>
      <c r="E12" s="4">
        <v>663553</v>
      </c>
      <c r="F12" s="4">
        <v>23982.720000000001</v>
      </c>
      <c r="G12" s="4">
        <f>Operaciones[[#This Row],[Monto Total Operación]]*0.03</f>
        <v>19906.59</v>
      </c>
      <c r="H12" s="4">
        <f>(Operaciones[[#This Row],[Monto Total Operación]]-Operaciones[[#This Row],[Costos Operativos]]-Operaciones[[#This Row],[Comisión Vendedor]])*0.9</f>
        <v>557697.32100000011</v>
      </c>
      <c r="I12" s="4">
        <f>Operaciones[[#This Row],[Monto Total Operación]]-Operaciones[[#This Row],[Beneficio Propietario]]-Operaciones[[#This Row],[Costos Operativos]]-Operaciones[[#This Row],[Comisión Vendedor]]</f>
        <v>61966.36899999989</v>
      </c>
      <c r="J12"/>
    </row>
    <row r="13" spans="1:10" x14ac:dyDescent="0.3">
      <c r="A13" s="2">
        <v>12</v>
      </c>
      <c r="B13" s="3">
        <v>42465</v>
      </c>
      <c r="C13" s="2" t="s">
        <v>8</v>
      </c>
      <c r="D13" s="2" t="s">
        <v>11</v>
      </c>
      <c r="E13" s="4">
        <v>1035813</v>
      </c>
      <c r="F13" s="4">
        <v>39357.120000000003</v>
      </c>
      <c r="G13" s="4">
        <f>Operaciones[[#This Row],[Monto Total Operación]]*0.03</f>
        <v>31074.39</v>
      </c>
      <c r="H13" s="4">
        <f>(Operaciones[[#This Row],[Monto Total Operación]]-Operaciones[[#This Row],[Costos Operativos]]-Operaciones[[#This Row],[Comisión Vendedor]])*0.9</f>
        <v>868843.34100000001</v>
      </c>
      <c r="I13" s="4">
        <f>Operaciones[[#This Row],[Monto Total Operación]]-Operaciones[[#This Row],[Beneficio Propietario]]-Operaciones[[#This Row],[Costos Operativos]]-Operaciones[[#This Row],[Comisión Vendedor]]</f>
        <v>96538.14899999999</v>
      </c>
      <c r="J13"/>
    </row>
    <row r="14" spans="1:10" x14ac:dyDescent="0.3">
      <c r="A14" s="2">
        <v>13</v>
      </c>
      <c r="B14" s="3">
        <v>42678</v>
      </c>
      <c r="C14" s="2" t="s">
        <v>14</v>
      </c>
      <c r="D14" s="2" t="s">
        <v>9</v>
      </c>
      <c r="E14" s="4">
        <v>2973785</v>
      </c>
      <c r="F14" s="4">
        <v>116495</v>
      </c>
      <c r="G14" s="4">
        <f>Operaciones[[#This Row],[Monto Total Operación]]*0.03</f>
        <v>89213.55</v>
      </c>
      <c r="H14" s="4">
        <f>(Operaciones[[#This Row],[Monto Total Operación]]-Operaciones[[#This Row],[Costos Operativos]]-Operaciones[[#This Row],[Comisión Vendedor]])*0.9</f>
        <v>2491268.8050000002</v>
      </c>
      <c r="I14" s="4">
        <f>Operaciones[[#This Row],[Monto Total Operación]]-Operaciones[[#This Row],[Beneficio Propietario]]-Operaciones[[#This Row],[Costos Operativos]]-Operaciones[[#This Row],[Comisión Vendedor]]</f>
        <v>276807.64499999984</v>
      </c>
      <c r="J14"/>
    </row>
    <row r="15" spans="1:10" x14ac:dyDescent="0.3">
      <c r="A15" s="2">
        <v>14</v>
      </c>
      <c r="B15" s="3">
        <v>42644</v>
      </c>
      <c r="C15" s="2" t="s">
        <v>8</v>
      </c>
      <c r="D15" s="2" t="s">
        <v>16</v>
      </c>
      <c r="E15" s="4">
        <v>701185</v>
      </c>
      <c r="F15" s="4">
        <v>25992</v>
      </c>
      <c r="G15" s="4">
        <f>Operaciones[[#This Row],[Monto Total Operación]]*0.03</f>
        <v>21035.55</v>
      </c>
      <c r="H15" s="4">
        <f>(Operaciones[[#This Row],[Monto Total Operación]]-Operaciones[[#This Row],[Costos Operativos]]-Operaciones[[#This Row],[Comisión Vendedor]])*0.9</f>
        <v>588741.70499999996</v>
      </c>
      <c r="I15" s="4">
        <f>Operaciones[[#This Row],[Monto Total Operación]]-Operaciones[[#This Row],[Beneficio Propietario]]-Operaciones[[#This Row],[Costos Operativos]]-Operaciones[[#This Row],[Comisión Vendedor]]</f>
        <v>65415.745000000039</v>
      </c>
      <c r="J15"/>
    </row>
    <row r="16" spans="1:10" x14ac:dyDescent="0.3">
      <c r="A16" s="2">
        <v>15</v>
      </c>
      <c r="B16" s="3">
        <v>42703</v>
      </c>
      <c r="C16" s="2" t="s">
        <v>10</v>
      </c>
      <c r="D16" s="2" t="s">
        <v>11</v>
      </c>
      <c r="E16" s="4">
        <v>856821</v>
      </c>
      <c r="F16" s="4">
        <v>31930.44</v>
      </c>
      <c r="G16" s="4">
        <f>Operaciones[[#This Row],[Monto Total Operación]]*0.03</f>
        <v>25704.629999999997</v>
      </c>
      <c r="H16" s="4">
        <f>(Operaciones[[#This Row],[Monto Total Operación]]-Operaciones[[#This Row],[Costos Operativos]]-Operaciones[[#This Row],[Comisión Vendedor]])*0.9</f>
        <v>719267.33700000006</v>
      </c>
      <c r="I16" s="4">
        <f>Operaciones[[#This Row],[Monto Total Operación]]-Operaciones[[#This Row],[Beneficio Propietario]]-Operaciones[[#This Row],[Costos Operativos]]-Operaciones[[#This Row],[Comisión Vendedor]]</f>
        <v>79918.592999999935</v>
      </c>
      <c r="J16"/>
    </row>
    <row r="17" spans="1:10" x14ac:dyDescent="0.3">
      <c r="A17" s="2">
        <v>16</v>
      </c>
      <c r="B17" s="3">
        <v>42695</v>
      </c>
      <c r="C17" s="2" t="s">
        <v>8</v>
      </c>
      <c r="D17" s="2" t="s">
        <v>16</v>
      </c>
      <c r="E17" s="4">
        <v>974445</v>
      </c>
      <c r="F17" s="4">
        <v>36282.400000000001</v>
      </c>
      <c r="G17" s="4">
        <f>Operaciones[[#This Row],[Monto Total Operación]]*0.03</f>
        <v>29233.35</v>
      </c>
      <c r="H17" s="4">
        <f>(Operaciones[[#This Row],[Monto Total Operación]]-Operaciones[[#This Row],[Costos Operativos]]-Operaciones[[#This Row],[Comisión Vendedor]])*0.9</f>
        <v>818036.32500000007</v>
      </c>
      <c r="I17" s="4">
        <f>Operaciones[[#This Row],[Monto Total Operación]]-Operaciones[[#This Row],[Beneficio Propietario]]-Operaciones[[#This Row],[Costos Operativos]]-Operaciones[[#This Row],[Comisión Vendedor]]</f>
        <v>90892.92499999993</v>
      </c>
      <c r="J17"/>
    </row>
    <row r="18" spans="1:10" x14ac:dyDescent="0.3">
      <c r="A18" s="2">
        <v>17</v>
      </c>
      <c r="B18" s="3">
        <v>42651</v>
      </c>
      <c r="C18" s="2" t="s">
        <v>17</v>
      </c>
      <c r="D18" s="2" t="s">
        <v>11</v>
      </c>
      <c r="E18" s="4">
        <v>395331</v>
      </c>
      <c r="F18" s="4">
        <v>13357.84</v>
      </c>
      <c r="G18" s="4">
        <f>Operaciones[[#This Row],[Monto Total Operación]]*0.03</f>
        <v>11859.93</v>
      </c>
      <c r="H18" s="4">
        <f>(Operaciones[[#This Row],[Monto Total Operación]]-Operaciones[[#This Row],[Costos Operativos]]-Operaciones[[#This Row],[Comisión Vendedor]])*0.9</f>
        <v>333101.90700000001</v>
      </c>
      <c r="I18" s="4">
        <f>Operaciones[[#This Row],[Monto Total Operación]]-Operaciones[[#This Row],[Beneficio Propietario]]-Operaciones[[#This Row],[Costos Operativos]]-Operaciones[[#This Row],[Comisión Vendedor]]</f>
        <v>37011.322999999997</v>
      </c>
      <c r="J18"/>
    </row>
    <row r="19" spans="1:10" x14ac:dyDescent="0.3">
      <c r="A19" s="2">
        <v>18</v>
      </c>
      <c r="B19" s="3">
        <v>42527</v>
      </c>
      <c r="C19" s="2" t="s">
        <v>8</v>
      </c>
      <c r="D19" s="2" t="s">
        <v>18</v>
      </c>
      <c r="E19" s="4">
        <v>1716090</v>
      </c>
      <c r="F19" s="4">
        <v>66426.2</v>
      </c>
      <c r="G19" s="4">
        <f>Operaciones[[#This Row],[Monto Total Operación]]*0.03</f>
        <v>51482.7</v>
      </c>
      <c r="H19" s="4">
        <f>(Operaciones[[#This Row],[Monto Total Operación]]-Operaciones[[#This Row],[Costos Operativos]]-Operaciones[[#This Row],[Comisión Vendedor]])*0.9</f>
        <v>1438362.9900000002</v>
      </c>
      <c r="I19" s="4">
        <f>Operaciones[[#This Row],[Monto Total Operación]]-Operaciones[[#This Row],[Beneficio Propietario]]-Operaciones[[#This Row],[Costos Operativos]]-Operaciones[[#This Row],[Comisión Vendedor]]</f>
        <v>159818.10999999975</v>
      </c>
      <c r="J19"/>
    </row>
    <row r="20" spans="1:10" ht="14.4" x14ac:dyDescent="0.3">
      <c r="A20" t="s">
        <v>21</v>
      </c>
      <c r="B20"/>
      <c r="C20"/>
      <c r="D20"/>
      <c r="E20" s="6"/>
      <c r="F20" s="6">
        <f>SUBTOTAL(109,Operaciones[Costos Operativos])</f>
        <v>918536.99999999988</v>
      </c>
      <c r="G20" s="6">
        <f>SUBTOTAL(109,Operaciones[Comisión Vendedor])</f>
        <v>720376.65</v>
      </c>
      <c r="H20" s="6">
        <f>SUBTOTAL(109,Operaciones[Beneficio Propietario])</f>
        <v>20136277.215000004</v>
      </c>
      <c r="I20" s="5">
        <f>SUBTOTAL(109,Operaciones[Ganancia])</f>
        <v>2237364.1349999998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2020-06-19T15:12:46Z</dcterms:created>
  <dcterms:modified xsi:type="dcterms:W3CDTF">2026-02-09T13:20:02Z</dcterms:modified>
</cp:coreProperties>
</file>