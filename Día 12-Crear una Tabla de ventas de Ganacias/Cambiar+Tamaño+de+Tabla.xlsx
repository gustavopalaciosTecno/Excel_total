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STAVO\Documents\Cursos Udemy\ExcelTotal\Día 12-Crear una Tabla de ventas de Ganacias\"/>
    </mc:Choice>
  </mc:AlternateContent>
  <xr:revisionPtr revIDLastSave="0" documentId="13_ncr:1_{0C6C7125-3AE3-4EF2-8CAC-2606C09DD893}" xr6:coauthVersionLast="47" xr6:coauthVersionMax="47" xr10:uidLastSave="{00000000-0000-0000-0000-000000000000}"/>
  <bookViews>
    <workbookView xWindow="-108" yWindow="-108" windowWidth="23256" windowHeight="13896" xr2:uid="{3918A3F5-F553-4C97-8476-512AD0773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22" i="1"/>
  <c r="F17" i="1"/>
  <c r="F16" i="1"/>
  <c r="F15" i="1"/>
  <c r="F14" i="1"/>
  <c r="F13" i="1"/>
  <c r="F12" i="1"/>
  <c r="F11" i="1"/>
  <c r="F10" i="1"/>
  <c r="F5" i="1"/>
  <c r="F4" i="1"/>
  <c r="F3" i="1"/>
  <c r="E21" i="1"/>
  <c r="F21" i="1" s="1"/>
  <c r="E20" i="1"/>
  <c r="F20" i="1" s="1"/>
  <c r="E19" i="1"/>
  <c r="F19" i="1" s="1"/>
  <c r="E18" i="1"/>
  <c r="F18" i="1" s="1"/>
  <c r="E17" i="1"/>
  <c r="E16" i="1"/>
  <c r="E15" i="1"/>
  <c r="E14" i="1"/>
  <c r="E13" i="1"/>
  <c r="E12" i="1"/>
  <c r="E11" i="1"/>
  <c r="E10" i="1"/>
  <c r="E9" i="1"/>
  <c r="F9" i="1" s="1"/>
  <c r="E8" i="1"/>
  <c r="F8" i="1" s="1"/>
  <c r="E7" i="1"/>
  <c r="F7" i="1" s="1"/>
  <c r="E6" i="1"/>
  <c r="F6" i="1" s="1"/>
  <c r="E5" i="1"/>
  <c r="E4" i="1"/>
  <c r="E3" i="1"/>
  <c r="E2" i="1"/>
</calcChain>
</file>

<file path=xl/sharedStrings.xml><?xml version="1.0" encoding="utf-8"?>
<sst xmlns="http://schemas.openxmlformats.org/spreadsheetml/2006/main" count="47" uniqueCount="17">
  <si>
    <t>Fecha Operación</t>
  </si>
  <si>
    <t>Monto Total Operación</t>
  </si>
  <si>
    <t>Ganancia</t>
  </si>
  <si>
    <t>Vendedor</t>
  </si>
  <si>
    <t>Romina</t>
  </si>
  <si>
    <t>Arturo</t>
  </si>
  <si>
    <t>Carlos</t>
  </si>
  <si>
    <t>Iván</t>
  </si>
  <si>
    <t>Ángeles</t>
  </si>
  <si>
    <t>Sabrina</t>
  </si>
  <si>
    <t>ID</t>
  </si>
  <si>
    <t>Columna1</t>
  </si>
  <si>
    <t>Porcentaje de Ganancias</t>
  </si>
  <si>
    <t>Total</t>
  </si>
  <si>
    <t>Suma</t>
  </si>
  <si>
    <t>Promedio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</si>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</sst>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\ * #,##0.00_-;\-&quot;$&quot;\ * #,##0.00_-;_-&quot;$&quot;\ * &quot;-&quot;??_-;_-@_-"/>
    <numFmt numFmtId="165" formatCode="dd/mm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165" fontId="3" fillId="0" borderId="0" xfId="0" applyNumberFormat="1" applyFont="1"/>
    <xf numFmtId="164" fontId="3" fillId="0" borderId="0" xfId="1" applyFont="1"/>
    <xf numFmtId="164" fontId="3" fillId="0" borderId="0" xfId="0" applyNumberFormat="1" applyFont="1"/>
    <xf numFmtId="164" fontId="1" fillId="0" borderId="0" xfId="0" applyNumberFormat="1" applyFont="1"/>
    <xf numFmtId="10" fontId="3" fillId="0" borderId="0" xfId="0" applyNumberFormat="1" applyFont="1"/>
    <xf numFmtId="10" fontId="3" fillId="0" borderId="0" xfId="2" applyNumberFormat="1" applyFont="1"/>
  </cellXfs>
  <cellStyles count="3">
    <cellStyle name="Moneda" xfId="1" builtinId="4"/>
    <cellStyle name="Normal" xfId="0" builtinId="0"/>
    <cellStyle name="Porcentaje" xfId="2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&quot;$&quot;\ * #,##0.00_-;\-&quot;$&quot;\ * #,##0.00_-;_-&quot;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;@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dd/mm/yyyy;@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Porcentaje de Ganancias</a:t>
            </a:r>
          </a:p>
        </c:rich>
      </c:tx>
      <c:layout>
        <c:manualLayout>
          <c:xMode val="edge"/>
          <c:yMode val="edge"/>
          <c:x val="0.37359875219566685"/>
          <c:y val="1.9011406844106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0.13484027699404169"/>
          <c:y val="0.13019645120405579"/>
          <c:w val="0.85045924524043093"/>
          <c:h val="0.77727637895072998"/>
        </c:manualLayout>
      </c:layout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Hoja1!$F$2:$F$21</c:f>
              <c:numCache>
                <c:formatCode>0.00%</c:formatCode>
                <c:ptCount val="20"/>
                <c:pt idx="0">
                  <c:v>31253.587199999998</c:v>
                </c:pt>
                <c:pt idx="1">
                  <c:v>28539.489599999997</c:v>
                </c:pt>
                <c:pt idx="2">
                  <c:v>10784.1744</c:v>
                </c:pt>
                <c:pt idx="3">
                  <c:v>26667.863999999998</c:v>
                </c:pt>
                <c:pt idx="4">
                  <c:v>16912.929599999999</c:v>
                </c:pt>
                <c:pt idx="5">
                  <c:v>14250.830399999999</c:v>
                </c:pt>
                <c:pt idx="6">
                  <c:v>6381.6623999999993</c:v>
                </c:pt>
                <c:pt idx="7">
                  <c:v>31607.423999999999</c:v>
                </c:pt>
                <c:pt idx="8">
                  <c:v>15276.455999999998</c:v>
                </c:pt>
                <c:pt idx="9">
                  <c:v>29941.243199999997</c:v>
                </c:pt>
                <c:pt idx="10">
                  <c:v>9555.1631999999991</c:v>
                </c:pt>
                <c:pt idx="11">
                  <c:v>14915.707199999999</c:v>
                </c:pt>
                <c:pt idx="12">
                  <c:v>42822.504000000001</c:v>
                </c:pt>
                <c:pt idx="13">
                  <c:v>10097.063999999998</c:v>
                </c:pt>
                <c:pt idx="14">
                  <c:v>12338.222399999999</c:v>
                </c:pt>
                <c:pt idx="15">
                  <c:v>14032.007999999998</c:v>
                </c:pt>
                <c:pt idx="16">
                  <c:v>5692.7663999999995</c:v>
                </c:pt>
                <c:pt idx="17">
                  <c:v>24711.695999999996</c:v>
                </c:pt>
                <c:pt idx="18">
                  <c:v>3695.5007999999998</c:v>
                </c:pt>
                <c:pt idx="19">
                  <c:v>1443.3407999999999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BF-4881-B2C9-35963860CBDE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8966144"/>
        <c:axId val="1394393504"/>
      </c:lineChart>
      <c:catAx>
        <c:axId val="170896614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394393504"/>
        <c:crosses val="autoZero"/>
        <c:auto val="1"/>
        <c:lblAlgn val="ctr"/>
        <c:lblOffset val="100"/>
        <c:noMultiLvlLbl val="0"/>
      </c:catAx>
      <c:valAx>
        <c:axId val="13943935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70896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0</xdr:row>
      <xdr:rowOff>190500</xdr:rowOff>
    </xdr:from>
    <xdr:to>
      <xdr:col>15</xdr:col>
      <xdr:colOff>365760</xdr:colOff>
      <xdr:row>21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1B366D-018F-4411-99A7-2219493910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D21E25-B580-49B5-9DAA-12E4BAA60148}" name="Operaciones" displayName="Operaciones" ref="A1:F22" totalsRowCount="1" headerRowDxfId="10" dataDxfId="8" totalsRowDxfId="9">
  <autoFilter ref="A1:F21" xr:uid="{67391471-90A9-4A97-99CA-0F841C63F89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C06FBE20-EB36-4092-BC49-D53F51FC3DF1}" name="ID" totalsRowLabel="Total" dataDxfId="7"/>
    <tableColumn id="2" xr3:uid="{8798895E-61F6-48C0-BD45-16DDE68BE61D}" name="Fecha Operación" dataDxfId="6"/>
    <tableColumn id="9" xr3:uid="{9934C9E1-294F-430B-AA08-3A618CE8EAA7}" name="Vendedor" dataDxfId="5"/>
    <tableColumn id="6" xr3:uid="{FD23A4C0-5F5C-4ED7-9336-34FDE9EC4A7E}" name="Monto Total Operación" dataDxfId="4" totalsRowDxfId="3" dataCellStyle="Moneda"/>
    <tableColumn id="14" xr3:uid="{AE17617B-4D53-4CDD-AE57-0BCC960712D5}" name="Ganancia" dataDxfId="2">
      <calculatedColumnFormula>D2*0.12</calculatedColumnFormula>
    </tableColumn>
    <tableColumn id="3" xr3:uid="{BDC85E1E-32C2-4DC5-B66D-5A81C282949A}" name="Porcentaje de Ganancias" totalsRowFunction="custom" dataDxfId="1" totalsRowDxfId="0" dataCellStyle="Porcentaje">
      <calculatedColumnFormula>E2*0.12</calculatedColumnFormula>
      <totalsRowFormula>SUBTOTAL(109,Operaciones[Porcentaje de Ganancias])/SUBTOTAL(109,Operaciones[Porcentaje de Ganancias])</totalsRow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92868-F820-4040-B6C7-2F444AD8F098}">
  <dimension ref="A1:F28"/>
  <sheetViews>
    <sheetView tabSelected="1" workbookViewId="0">
      <selection activeCell="L25" sqref="L25"/>
    </sheetView>
  </sheetViews>
  <sheetFormatPr baseColWidth="10" defaultRowHeight="15.6" x14ac:dyDescent="0.3"/>
  <cols>
    <col min="1" max="1" width="5.21875" style="1" bestFit="1" customWidth="1"/>
    <col min="2" max="2" width="16.6640625" style="2" bestFit="1" customWidth="1"/>
    <col min="3" max="3" width="10.21875" style="1" bestFit="1" customWidth="1"/>
    <col min="4" max="4" width="20.77734375" style="3" customWidth="1"/>
    <col min="5" max="5" width="14" style="1" bestFit="1" customWidth="1"/>
    <col min="6" max="6" width="24.33203125" customWidth="1"/>
    <col min="7" max="7" width="11.5546875" customWidth="1"/>
  </cols>
  <sheetData>
    <row r="1" spans="1:6" x14ac:dyDescent="0.3">
      <c r="A1" s="1" t="s">
        <v>10</v>
      </c>
      <c r="B1" s="2" t="s">
        <v>0</v>
      </c>
      <c r="C1" s="1" t="s">
        <v>3</v>
      </c>
      <c r="D1" s="3" t="s">
        <v>1</v>
      </c>
      <c r="E1" s="1" t="s">
        <v>2</v>
      </c>
      <c r="F1" s="1" t="s">
        <v>12</v>
      </c>
    </row>
    <row r="2" spans="1:6" x14ac:dyDescent="0.3">
      <c r="A2" s="1">
        <v>1</v>
      </c>
      <c r="B2" s="2">
        <v>42540</v>
      </c>
      <c r="C2" s="1" t="s">
        <v>4</v>
      </c>
      <c r="D2" s="3">
        <v>2170388</v>
      </c>
      <c r="E2" s="4">
        <f t="shared" ref="E2:F21" si="0">D2*0.12</f>
        <v>260446.56</v>
      </c>
      <c r="F2" s="7">
        <f t="shared" si="0"/>
        <v>31253.587199999998</v>
      </c>
    </row>
    <row r="3" spans="1:6" x14ac:dyDescent="0.3">
      <c r="A3" s="1">
        <v>2</v>
      </c>
      <c r="B3" s="2">
        <v>42479</v>
      </c>
      <c r="C3" s="1" t="s">
        <v>5</v>
      </c>
      <c r="D3" s="3">
        <v>1981909</v>
      </c>
      <c r="E3" s="4">
        <f t="shared" si="0"/>
        <v>237829.08</v>
      </c>
      <c r="F3" s="7">
        <f t="shared" si="0"/>
        <v>28539.489599999997</v>
      </c>
    </row>
    <row r="4" spans="1:6" x14ac:dyDescent="0.3">
      <c r="A4" s="1">
        <v>3</v>
      </c>
      <c r="B4" s="2">
        <v>42682</v>
      </c>
      <c r="C4" s="1" t="s">
        <v>6</v>
      </c>
      <c r="D4" s="3">
        <v>748901</v>
      </c>
      <c r="E4" s="4">
        <f t="shared" si="0"/>
        <v>89868.12</v>
      </c>
      <c r="F4" s="7">
        <f t="shared" si="0"/>
        <v>10784.1744</v>
      </c>
    </row>
    <row r="5" spans="1:6" x14ac:dyDescent="0.3">
      <c r="A5" s="1">
        <v>4</v>
      </c>
      <c r="B5" s="2">
        <v>42487</v>
      </c>
      <c r="C5" s="1" t="s">
        <v>7</v>
      </c>
      <c r="D5" s="3">
        <v>1851935</v>
      </c>
      <c r="E5" s="4">
        <f t="shared" si="0"/>
        <v>222232.19999999998</v>
      </c>
      <c r="F5" s="7">
        <f t="shared" si="0"/>
        <v>26667.863999999998</v>
      </c>
    </row>
    <row r="6" spans="1:6" x14ac:dyDescent="0.3">
      <c r="A6" s="1">
        <v>5</v>
      </c>
      <c r="B6" s="2">
        <v>42561</v>
      </c>
      <c r="C6" s="1" t="s">
        <v>8</v>
      </c>
      <c r="D6" s="3">
        <v>1174509</v>
      </c>
      <c r="E6" s="4">
        <f t="shared" si="0"/>
        <v>140941.07999999999</v>
      </c>
      <c r="F6" s="7">
        <f t="shared" si="0"/>
        <v>16912.929599999999</v>
      </c>
    </row>
    <row r="7" spans="1:6" x14ac:dyDescent="0.3">
      <c r="A7" s="1">
        <v>6</v>
      </c>
      <c r="B7" s="2">
        <v>42618</v>
      </c>
      <c r="C7" s="1" t="s">
        <v>5</v>
      </c>
      <c r="D7" s="3">
        <v>989641</v>
      </c>
      <c r="E7" s="4">
        <f t="shared" si="0"/>
        <v>118756.92</v>
      </c>
      <c r="F7" s="7">
        <f t="shared" si="0"/>
        <v>14250.830399999999</v>
      </c>
    </row>
    <row r="8" spans="1:6" x14ac:dyDescent="0.3">
      <c r="A8" s="1">
        <v>7</v>
      </c>
      <c r="B8" s="2">
        <v>42528</v>
      </c>
      <c r="C8" s="1" t="s">
        <v>5</v>
      </c>
      <c r="D8" s="3">
        <v>443171</v>
      </c>
      <c r="E8" s="4">
        <f t="shared" si="0"/>
        <v>53180.52</v>
      </c>
      <c r="F8" s="7">
        <f t="shared" si="0"/>
        <v>6381.6623999999993</v>
      </c>
    </row>
    <row r="9" spans="1:6" x14ac:dyDescent="0.3">
      <c r="A9" s="1">
        <v>8</v>
      </c>
      <c r="B9" s="2">
        <v>42674</v>
      </c>
      <c r="C9" s="1" t="s">
        <v>7</v>
      </c>
      <c r="D9" s="3">
        <v>2194960</v>
      </c>
      <c r="E9" s="4">
        <f t="shared" si="0"/>
        <v>263395.20000000001</v>
      </c>
      <c r="F9" s="7">
        <f t="shared" si="0"/>
        <v>31607.423999999999</v>
      </c>
    </row>
    <row r="10" spans="1:6" x14ac:dyDescent="0.3">
      <c r="A10" s="1">
        <v>9</v>
      </c>
      <c r="B10" s="2">
        <v>42732</v>
      </c>
      <c r="C10" s="1" t="s">
        <v>7</v>
      </c>
      <c r="D10" s="3">
        <v>1060865</v>
      </c>
      <c r="E10" s="4">
        <f t="shared" si="0"/>
        <v>127303.79999999999</v>
      </c>
      <c r="F10" s="7">
        <f t="shared" si="0"/>
        <v>15276.455999999998</v>
      </c>
    </row>
    <row r="11" spans="1:6" x14ac:dyDescent="0.3">
      <c r="A11" s="1">
        <v>10</v>
      </c>
      <c r="B11" s="2">
        <v>42649</v>
      </c>
      <c r="C11" s="1" t="s">
        <v>6</v>
      </c>
      <c r="D11" s="3">
        <v>2079253</v>
      </c>
      <c r="E11" s="4">
        <f t="shared" si="0"/>
        <v>249510.36</v>
      </c>
      <c r="F11" s="7">
        <f t="shared" si="0"/>
        <v>29941.243199999997</v>
      </c>
    </row>
    <row r="12" spans="1:6" x14ac:dyDescent="0.3">
      <c r="A12" s="1">
        <v>11</v>
      </c>
      <c r="B12" s="2">
        <v>42671</v>
      </c>
      <c r="C12" s="1" t="s">
        <v>5</v>
      </c>
      <c r="D12" s="3">
        <v>663553</v>
      </c>
      <c r="E12" s="4">
        <f t="shared" si="0"/>
        <v>79626.36</v>
      </c>
      <c r="F12" s="7">
        <f t="shared" si="0"/>
        <v>9555.1631999999991</v>
      </c>
    </row>
    <row r="13" spans="1:6" x14ac:dyDescent="0.3">
      <c r="A13" s="1">
        <v>12</v>
      </c>
      <c r="B13" s="2">
        <v>42465</v>
      </c>
      <c r="C13" s="1" t="s">
        <v>4</v>
      </c>
      <c r="D13" s="3">
        <v>1035813</v>
      </c>
      <c r="E13" s="4">
        <f t="shared" si="0"/>
        <v>124297.56</v>
      </c>
      <c r="F13" s="7">
        <f t="shared" si="0"/>
        <v>14915.707199999999</v>
      </c>
    </row>
    <row r="14" spans="1:6" x14ac:dyDescent="0.3">
      <c r="A14" s="1">
        <v>13</v>
      </c>
      <c r="B14" s="2">
        <v>42678</v>
      </c>
      <c r="C14" s="1" t="s">
        <v>7</v>
      </c>
      <c r="D14" s="3">
        <v>2973785</v>
      </c>
      <c r="E14" s="4">
        <f t="shared" si="0"/>
        <v>356854.2</v>
      </c>
      <c r="F14" s="7">
        <f t="shared" si="0"/>
        <v>42822.504000000001</v>
      </c>
    </row>
    <row r="15" spans="1:6" x14ac:dyDescent="0.3">
      <c r="A15" s="1">
        <v>14</v>
      </c>
      <c r="B15" s="2">
        <v>42644</v>
      </c>
      <c r="C15" s="1" t="s">
        <v>4</v>
      </c>
      <c r="D15" s="3">
        <v>701185</v>
      </c>
      <c r="E15" s="4">
        <f t="shared" si="0"/>
        <v>84142.2</v>
      </c>
      <c r="F15" s="7">
        <f t="shared" si="0"/>
        <v>10097.063999999998</v>
      </c>
    </row>
    <row r="16" spans="1:6" x14ac:dyDescent="0.3">
      <c r="A16" s="1">
        <v>15</v>
      </c>
      <c r="B16" s="2">
        <v>42703</v>
      </c>
      <c r="C16" s="1" t="s">
        <v>5</v>
      </c>
      <c r="D16" s="3">
        <v>856821</v>
      </c>
      <c r="E16" s="4">
        <f t="shared" si="0"/>
        <v>102818.51999999999</v>
      </c>
      <c r="F16" s="7">
        <f t="shared" si="0"/>
        <v>12338.222399999999</v>
      </c>
    </row>
    <row r="17" spans="1:6" x14ac:dyDescent="0.3">
      <c r="A17" s="1">
        <v>16</v>
      </c>
      <c r="B17" s="2">
        <v>42695</v>
      </c>
      <c r="C17" s="1" t="s">
        <v>4</v>
      </c>
      <c r="D17" s="3">
        <v>974445</v>
      </c>
      <c r="E17" s="4">
        <f t="shared" si="0"/>
        <v>116933.4</v>
      </c>
      <c r="F17" s="7">
        <f t="shared" si="0"/>
        <v>14032.007999999998</v>
      </c>
    </row>
    <row r="18" spans="1:6" x14ac:dyDescent="0.3">
      <c r="A18" s="1">
        <v>17</v>
      </c>
      <c r="B18" s="2">
        <v>42651</v>
      </c>
      <c r="C18" s="1" t="s">
        <v>9</v>
      </c>
      <c r="D18" s="3">
        <v>395331</v>
      </c>
      <c r="E18" s="4">
        <f t="shared" si="0"/>
        <v>47439.72</v>
      </c>
      <c r="F18" s="7">
        <f t="shared" si="0"/>
        <v>5692.7663999999995</v>
      </c>
    </row>
    <row r="19" spans="1:6" x14ac:dyDescent="0.3">
      <c r="A19" s="1">
        <v>18</v>
      </c>
      <c r="B19" s="2">
        <v>42527</v>
      </c>
      <c r="C19" s="1" t="s">
        <v>4</v>
      </c>
      <c r="D19" s="3">
        <v>1716090</v>
      </c>
      <c r="E19" s="4">
        <f t="shared" si="0"/>
        <v>205930.8</v>
      </c>
      <c r="F19" s="7">
        <f t="shared" si="0"/>
        <v>24711.695999999996</v>
      </c>
    </row>
    <row r="20" spans="1:6" x14ac:dyDescent="0.3">
      <c r="A20" s="1">
        <v>19</v>
      </c>
      <c r="B20" s="2">
        <v>43936</v>
      </c>
      <c r="C20" s="2" t="s">
        <v>5</v>
      </c>
      <c r="D20" s="3">
        <v>256632</v>
      </c>
      <c r="E20" s="4">
        <f t="shared" si="0"/>
        <v>30795.84</v>
      </c>
      <c r="F20" s="7">
        <f t="shared" si="0"/>
        <v>3695.5007999999998</v>
      </c>
    </row>
    <row r="21" spans="1:6" x14ac:dyDescent="0.3">
      <c r="A21" s="1">
        <v>20</v>
      </c>
      <c r="B21" s="2">
        <v>44063</v>
      </c>
      <c r="C21" s="2" t="s">
        <v>4</v>
      </c>
      <c r="D21" s="3">
        <v>100232</v>
      </c>
      <c r="E21" s="4">
        <f t="shared" si="0"/>
        <v>12027.84</v>
      </c>
      <c r="F21" s="7">
        <f t="shared" si="0"/>
        <v>1443.3407999999999</v>
      </c>
    </row>
    <row r="22" spans="1:6" x14ac:dyDescent="0.3">
      <c r="A22" t="s">
        <v>13</v>
      </c>
      <c r="B22"/>
      <c r="C22"/>
      <c r="D22" s="5"/>
      <c r="E22"/>
      <c r="F22" s="6">
        <f>SUBTOTAL(109,Operaciones[Porcentaje de Ganancias])/SUBTOTAL(109,Operaciones[Porcentaje de Ganancias])</f>
        <v>1</v>
      </c>
    </row>
    <row r="27" spans="1:6" x14ac:dyDescent="0.3">
      <c r="E27" s="4"/>
    </row>
    <row r="28" spans="1:6" x14ac:dyDescent="0.3">
      <c r="E28" s="4"/>
    </row>
  </sheetData>
  <phoneticPr fontId="2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Gustavo Palacios</cp:lastModifiedBy>
  <dcterms:created xsi:type="dcterms:W3CDTF">2020-06-19T15:12:46Z</dcterms:created>
  <dcterms:modified xsi:type="dcterms:W3CDTF">2026-02-09T13:32:55Z</dcterms:modified>
</cp:coreProperties>
</file>