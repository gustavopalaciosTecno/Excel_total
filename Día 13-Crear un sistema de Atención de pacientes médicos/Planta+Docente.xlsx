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3-Crear un sistema de Atención de pacientes médicos\"/>
    </mc:Choice>
  </mc:AlternateContent>
  <xr:revisionPtr revIDLastSave="0" documentId="13_ncr:1_{31A62982-9D5F-49EF-9F68-F30BBE09D2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 de da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2" l="1"/>
  <c r="G18" i="2"/>
  <c r="F18" i="2"/>
  <c r="E18" i="2"/>
  <c r="D18" i="2"/>
  <c r="C18" i="2"/>
  <c r="B18" i="2"/>
</calcChain>
</file>

<file path=xl/sharedStrings.xml><?xml version="1.0" encoding="utf-8"?>
<sst xmlns="http://schemas.openxmlformats.org/spreadsheetml/2006/main" count="53" uniqueCount="44">
  <si>
    <t>Nombre</t>
  </si>
  <si>
    <t>Salario</t>
  </si>
  <si>
    <t>Fch comienzo</t>
  </si>
  <si>
    <t>Fch nacimiento</t>
  </si>
  <si>
    <t>Aux. Administrativo</t>
  </si>
  <si>
    <t>Técnico</t>
  </si>
  <si>
    <t>Administrativo</t>
  </si>
  <si>
    <t>Cargo</t>
  </si>
  <si>
    <t>Docente</t>
  </si>
  <si>
    <t>Alejandro Simanca</t>
  </si>
  <si>
    <t>Angelina Pulgarin</t>
  </si>
  <si>
    <t xml:space="preserve">Andrea Carmona </t>
  </si>
  <si>
    <t>Angela Alzate</t>
  </si>
  <si>
    <t>Alberto Peláez</t>
  </si>
  <si>
    <t>Alexandra Guerrero</t>
  </si>
  <si>
    <t>Ana Jaramillo</t>
  </si>
  <si>
    <t>Amalia Vergara</t>
  </si>
  <si>
    <t>Andrés Peláez</t>
  </si>
  <si>
    <t>Alejandra Florez</t>
  </si>
  <si>
    <t>Amalia Gutierrez</t>
  </si>
  <si>
    <t>Alicia Perez</t>
  </si>
  <si>
    <t>Adriana Hoyos</t>
  </si>
  <si>
    <t xml:space="preserve">Ana Rodríguez </t>
  </si>
  <si>
    <t>MATRÍCULA</t>
  </si>
  <si>
    <t>DGT657</t>
  </si>
  <si>
    <t>FGY325</t>
  </si>
  <si>
    <t>NKI940</t>
  </si>
  <si>
    <t>QSE325</t>
  </si>
  <si>
    <t>TJL665</t>
  </si>
  <si>
    <t>VRO614</t>
  </si>
  <si>
    <t>AYO664</t>
  </si>
  <si>
    <t>ANH389</t>
  </si>
  <si>
    <t>VVG600</t>
  </si>
  <si>
    <t>FGT247</t>
  </si>
  <si>
    <t>AJU220</t>
  </si>
  <si>
    <t>DPL298</t>
  </si>
  <si>
    <t>QKI521</t>
  </si>
  <si>
    <t>FGL321</t>
  </si>
  <si>
    <t>Teléfonos</t>
  </si>
  <si>
    <t>Docente Investigador</t>
  </si>
  <si>
    <t>Buscar por Matrícula</t>
  </si>
  <si>
    <t>DGT 657</t>
  </si>
  <si>
    <t>Buscar por teléfono</t>
  </si>
  <si>
    <t>5 5 5 9 8 0 4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</si>
</sst>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&quot;$&quot;#,##0.00_);[Red]\(&quot;$&quot;#,##0.00\)"/>
    <numFmt numFmtId="165" formatCode="&quot;$&quot;#,##0_);[Red]\(&quot;$&quot;#,##0\)"/>
    <numFmt numFmtId="166" formatCode="dd/mm/yyyy;@"/>
  </numFmts>
  <fonts count="8" x14ac:knownFonts="1">
    <font>
      <sz val="10"/>
      <name val="Arial"/>
    </font>
    <font>
      <sz val="8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color indexed="9"/>
      <name val="Arial"/>
      <family val="2"/>
    </font>
    <font>
      <sz val="12"/>
      <name val="Arial"/>
      <family val="2"/>
    </font>
    <font>
      <sz val="10"/>
      <name val="Arial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4" fontId="6" fillId="0" borderId="0" applyFont="0" applyFill="0" applyBorder="0" applyAlignment="0" applyProtection="0"/>
  </cellStyleXfs>
  <cellXfs count="19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4" fillId="2" borderId="2" xfId="1" applyFont="1" applyFill="1" applyBorder="1" applyAlignment="1">
      <alignment horizontal="center"/>
    </xf>
    <xf numFmtId="165" fontId="4" fillId="2" borderId="2" xfId="2" applyNumberFormat="1" applyFont="1" applyFill="1" applyBorder="1" applyAlignment="1">
      <alignment horizontal="center"/>
    </xf>
    <xf numFmtId="0" fontId="5" fillId="0" borderId="1" xfId="3" applyFont="1" applyBorder="1"/>
    <xf numFmtId="165" fontId="5" fillId="0" borderId="1" xfId="2" applyNumberFormat="1" applyFont="1" applyBorder="1"/>
    <xf numFmtId="14" fontId="4" fillId="2" borderId="2" xfId="1" applyNumberFormat="1" applyFont="1" applyFill="1" applyBorder="1" applyAlignment="1">
      <alignment horizontal="center"/>
    </xf>
    <xf numFmtId="14" fontId="5" fillId="0" borderId="1" xfId="3" applyNumberFormat="1" applyFont="1" applyBorder="1"/>
    <xf numFmtId="14" fontId="5" fillId="0" borderId="0" xfId="0" applyNumberFormat="1" applyFont="1"/>
    <xf numFmtId="1" fontId="4" fillId="2" borderId="2" xfId="1" applyNumberFormat="1" applyFont="1" applyFill="1" applyBorder="1" applyAlignment="1">
      <alignment horizontal="center"/>
    </xf>
    <xf numFmtId="1" fontId="5" fillId="0" borderId="1" xfId="3" applyNumberFormat="1" applyFont="1" applyBorder="1"/>
    <xf numFmtId="1" fontId="5" fillId="0" borderId="0" xfId="0" applyNumberFormat="1" applyFont="1"/>
    <xf numFmtId="166" fontId="4" fillId="2" borderId="2" xfId="1" applyNumberFormat="1" applyFont="1" applyFill="1" applyBorder="1" applyAlignment="1">
      <alignment horizontal="center"/>
    </xf>
    <xf numFmtId="166" fontId="5" fillId="0" borderId="1" xfId="3" applyNumberFormat="1" applyFont="1" applyBorder="1"/>
    <xf numFmtId="166" fontId="5" fillId="0" borderId="0" xfId="0" applyNumberFormat="1" applyFont="1"/>
    <xf numFmtId="44" fontId="5" fillId="0" borderId="0" xfId="4" applyFont="1"/>
    <xf numFmtId="0" fontId="7" fillId="3" borderId="0" xfId="0" applyFont="1" applyFill="1"/>
    <xf numFmtId="1" fontId="7" fillId="3" borderId="0" xfId="0" applyNumberFormat="1" applyFont="1" applyFill="1"/>
  </cellXfs>
  <cellStyles count="5">
    <cellStyle name="Heading" xfId="1" xr:uid="{00000000-0005-0000-0000-000000000000}"/>
    <cellStyle name="Moneda" xfId="4" builtinId="4"/>
    <cellStyle name="Moneda_Relacion de personal (base)" xfId="2" xr:uid="{00000000-0005-0000-0000-000001000000}"/>
    <cellStyle name="Normal" xfId="0" builtinId="0"/>
    <cellStyle name="Normal_Relacion de personal (base)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G22" sqref="G22"/>
    </sheetView>
  </sheetViews>
  <sheetFormatPr baseColWidth="10" defaultColWidth="11.44140625" defaultRowHeight="15" x14ac:dyDescent="0.25"/>
  <cols>
    <col min="1" max="1" width="19.6640625" style="1" customWidth="1"/>
    <col min="2" max="2" width="13.33203125" style="12" customWidth="1"/>
    <col min="3" max="3" width="23" style="1" bestFit="1" customWidth="1"/>
    <col min="4" max="4" width="23" style="1" customWidth="1"/>
    <col min="5" max="5" width="16.88671875" style="1" bestFit="1" customWidth="1"/>
    <col min="6" max="6" width="16.88671875" style="15" bestFit="1" customWidth="1"/>
    <col min="7" max="7" width="18.109375" style="15" bestFit="1" customWidth="1"/>
    <col min="8" max="9" width="7.5546875" style="1" customWidth="1"/>
    <col min="10" max="13" width="9.33203125" style="1" customWidth="1"/>
    <col min="14" max="14" width="23.109375" style="1" customWidth="1"/>
    <col min="15" max="16384" width="11.44140625" style="1"/>
  </cols>
  <sheetData>
    <row r="1" spans="1:7" s="2" customFormat="1" ht="15.6" x14ac:dyDescent="0.3">
      <c r="A1" s="7" t="s">
        <v>23</v>
      </c>
      <c r="B1" s="10" t="s">
        <v>38</v>
      </c>
      <c r="C1" s="3" t="s">
        <v>0</v>
      </c>
      <c r="D1" s="3" t="s">
        <v>7</v>
      </c>
      <c r="E1" s="4" t="s">
        <v>1</v>
      </c>
      <c r="F1" s="13" t="s">
        <v>2</v>
      </c>
      <c r="G1" s="13" t="s">
        <v>3</v>
      </c>
    </row>
    <row r="2" spans="1:7" x14ac:dyDescent="0.25">
      <c r="A2" s="8" t="s">
        <v>24</v>
      </c>
      <c r="B2" s="11">
        <v>5559804</v>
      </c>
      <c r="C2" s="5" t="s">
        <v>21</v>
      </c>
      <c r="D2" s="5" t="s">
        <v>8</v>
      </c>
      <c r="E2" s="6">
        <v>2700000</v>
      </c>
      <c r="F2" s="14">
        <v>31446</v>
      </c>
      <c r="G2" s="14">
        <v>23702</v>
      </c>
    </row>
    <row r="3" spans="1:7" x14ac:dyDescent="0.25">
      <c r="A3" s="8" t="s">
        <v>25</v>
      </c>
      <c r="B3" s="11">
        <v>5559813</v>
      </c>
      <c r="C3" s="5" t="s">
        <v>13</v>
      </c>
      <c r="D3" s="5" t="s">
        <v>8</v>
      </c>
      <c r="E3" s="6">
        <v>2400000</v>
      </c>
      <c r="F3" s="14">
        <v>31438</v>
      </c>
      <c r="G3" s="14">
        <v>23713</v>
      </c>
    </row>
    <row r="4" spans="1:7" x14ac:dyDescent="0.25">
      <c r="A4" s="8" t="s">
        <v>26</v>
      </c>
      <c r="B4" s="11">
        <v>5559832</v>
      </c>
      <c r="C4" s="5" t="s">
        <v>18</v>
      </c>
      <c r="D4" s="5" t="s">
        <v>8</v>
      </c>
      <c r="E4" s="6">
        <v>4900000</v>
      </c>
      <c r="F4" s="14">
        <v>33710</v>
      </c>
      <c r="G4" s="14">
        <v>23767</v>
      </c>
    </row>
    <row r="5" spans="1:7" x14ac:dyDescent="0.25">
      <c r="A5" s="8" t="s">
        <v>27</v>
      </c>
      <c r="B5" s="11">
        <v>5559889</v>
      </c>
      <c r="C5" s="5" t="s">
        <v>9</v>
      </c>
      <c r="D5" s="5" t="s">
        <v>39</v>
      </c>
      <c r="E5" s="6">
        <v>4100000</v>
      </c>
      <c r="F5" s="14">
        <v>33344</v>
      </c>
      <c r="G5" s="14">
        <v>24693</v>
      </c>
    </row>
    <row r="6" spans="1:7" x14ac:dyDescent="0.25">
      <c r="A6" s="8" t="s">
        <v>28</v>
      </c>
      <c r="B6" s="11">
        <v>5559878</v>
      </c>
      <c r="C6" s="5" t="s">
        <v>14</v>
      </c>
      <c r="D6" s="5" t="s">
        <v>8</v>
      </c>
      <c r="E6" s="6">
        <v>3200000</v>
      </c>
      <c r="F6" s="15">
        <v>33336</v>
      </c>
      <c r="G6" s="14">
        <v>24704</v>
      </c>
    </row>
    <row r="7" spans="1:7" x14ac:dyDescent="0.25">
      <c r="A7" s="8" t="s">
        <v>29</v>
      </c>
      <c r="B7" s="11">
        <v>5559838</v>
      </c>
      <c r="C7" s="5" t="s">
        <v>20</v>
      </c>
      <c r="D7" s="5" t="s">
        <v>6</v>
      </c>
      <c r="E7" s="6">
        <v>5600000</v>
      </c>
      <c r="F7" s="14">
        <v>29153</v>
      </c>
      <c r="G7" s="14">
        <v>13751</v>
      </c>
    </row>
    <row r="8" spans="1:7" x14ac:dyDescent="0.25">
      <c r="A8" s="8" t="s">
        <v>30</v>
      </c>
      <c r="B8" s="11">
        <v>5559802</v>
      </c>
      <c r="C8" s="5" t="s">
        <v>19</v>
      </c>
      <c r="D8" s="5" t="s">
        <v>5</v>
      </c>
      <c r="E8" s="6">
        <v>1100000</v>
      </c>
      <c r="F8" s="14">
        <v>32040</v>
      </c>
      <c r="G8" s="14">
        <v>22554</v>
      </c>
    </row>
    <row r="9" spans="1:7" x14ac:dyDescent="0.25">
      <c r="A9" s="8" t="s">
        <v>31</v>
      </c>
      <c r="B9" s="11">
        <v>5559807</v>
      </c>
      <c r="C9" s="5" t="s">
        <v>16</v>
      </c>
      <c r="D9" s="5" t="s">
        <v>8</v>
      </c>
      <c r="E9" s="6">
        <v>3200000</v>
      </c>
      <c r="F9" s="14">
        <v>32032</v>
      </c>
      <c r="G9" s="14">
        <v>22565</v>
      </c>
    </row>
    <row r="10" spans="1:7" x14ac:dyDescent="0.25">
      <c r="A10" s="8" t="s">
        <v>32</v>
      </c>
      <c r="B10" s="11">
        <v>5559910</v>
      </c>
      <c r="C10" s="5" t="s">
        <v>15</v>
      </c>
      <c r="D10" s="5" t="s">
        <v>39</v>
      </c>
      <c r="E10" s="6">
        <v>3200000</v>
      </c>
      <c r="F10" s="14">
        <v>33823</v>
      </c>
      <c r="G10" s="14">
        <v>25443</v>
      </c>
    </row>
    <row r="11" spans="1:7" x14ac:dyDescent="0.25">
      <c r="A11" s="8" t="s">
        <v>33</v>
      </c>
      <c r="B11" s="11">
        <v>5559886</v>
      </c>
      <c r="C11" s="5" t="s">
        <v>22</v>
      </c>
      <c r="D11" s="5" t="s">
        <v>4</v>
      </c>
      <c r="E11" s="6">
        <v>1200000</v>
      </c>
      <c r="F11" s="14">
        <v>29066</v>
      </c>
      <c r="G11" s="14">
        <v>14862</v>
      </c>
    </row>
    <row r="12" spans="1:7" x14ac:dyDescent="0.25">
      <c r="A12" s="8" t="s">
        <v>34</v>
      </c>
      <c r="B12" s="11">
        <v>5559887</v>
      </c>
      <c r="C12" s="5" t="s">
        <v>11</v>
      </c>
      <c r="D12" s="5" t="s">
        <v>6</v>
      </c>
      <c r="E12" s="6">
        <v>4200000</v>
      </c>
      <c r="F12" s="14">
        <v>32599</v>
      </c>
      <c r="G12" s="14">
        <v>22971</v>
      </c>
    </row>
    <row r="13" spans="1:7" x14ac:dyDescent="0.25">
      <c r="A13" s="8" t="s">
        <v>35</v>
      </c>
      <c r="B13" s="11">
        <v>5559859</v>
      </c>
      <c r="C13" s="5" t="s">
        <v>17</v>
      </c>
      <c r="D13" s="5" t="s">
        <v>8</v>
      </c>
      <c r="E13" s="6">
        <v>1350000</v>
      </c>
      <c r="F13" s="14">
        <v>31495</v>
      </c>
      <c r="G13" s="14">
        <v>22982</v>
      </c>
    </row>
    <row r="14" spans="1:7" x14ac:dyDescent="0.25">
      <c r="A14" s="8" t="s">
        <v>36</v>
      </c>
      <c r="B14" s="11">
        <v>5559858</v>
      </c>
      <c r="C14" s="5" t="s">
        <v>12</v>
      </c>
      <c r="D14" s="5" t="s">
        <v>39</v>
      </c>
      <c r="E14" s="6">
        <v>3700000</v>
      </c>
      <c r="F14" s="14">
        <v>32445</v>
      </c>
      <c r="G14" s="14">
        <v>19334</v>
      </c>
    </row>
    <row r="15" spans="1:7" x14ac:dyDescent="0.25">
      <c r="A15" s="8" t="s">
        <v>37</v>
      </c>
      <c r="B15" s="11">
        <v>5559815</v>
      </c>
      <c r="C15" s="5" t="s">
        <v>10</v>
      </c>
      <c r="D15" s="5" t="s">
        <v>8</v>
      </c>
      <c r="E15" s="6">
        <v>1350000</v>
      </c>
      <c r="F15" s="14">
        <v>32894</v>
      </c>
      <c r="G15" s="14">
        <v>24038</v>
      </c>
    </row>
    <row r="16" spans="1:7" x14ac:dyDescent="0.25">
      <c r="A16" s="9"/>
    </row>
    <row r="17" spans="1:7" x14ac:dyDescent="0.25">
      <c r="A17" s="1" t="s">
        <v>40</v>
      </c>
    </row>
    <row r="18" spans="1:7" ht="15.6" x14ac:dyDescent="0.3">
      <c r="A18" s="17" t="s">
        <v>41</v>
      </c>
      <c r="B18" s="12">
        <f>VLOOKUP(SUBSTITUTE($A$18," ",""),$A$2:$G$15,2,FALSE)</f>
        <v>5559804</v>
      </c>
      <c r="C18" s="12" t="str">
        <f>VLOOKUP(SUBSTITUTE(SUBSTITUTE($A$18," ","")," ",""),$A$2:$G$15,3,FALSE)</f>
        <v>Adriana Hoyos</v>
      </c>
      <c r="D18" s="12" t="str">
        <f>VLOOKUP(SUBSTITUTE(SUBSTITUTE($A$18," ","")," ",""),$A$2:$G$15,4,FALSE)</f>
        <v>Docente</v>
      </c>
      <c r="E18" s="16">
        <f>VLOOKUP(SUBSTITUTE(SUBSTITUTE($A$18," ","")," ",""),$A$2:$G$15,5,FALSE)</f>
        <v>2700000</v>
      </c>
      <c r="F18" s="9">
        <f>VLOOKUP(SUBSTITUTE(SUBSTITUTE($A$18," ","")," ",""),$A$2:$G$15,6,FALSE)</f>
        <v>31446</v>
      </c>
      <c r="G18" s="9">
        <f>VLOOKUP(SUBSTITUTE(SUBSTITUTE($A$18," ","")," ",""),$A$2:$G$15,7,FALSE)</f>
        <v>23702</v>
      </c>
    </row>
    <row r="20" spans="1:7" x14ac:dyDescent="0.25">
      <c r="B20" s="12" t="s">
        <v>42</v>
      </c>
    </row>
    <row r="21" spans="1:7" ht="15.6" x14ac:dyDescent="0.3">
      <c r="B21" s="18" t="s">
        <v>43</v>
      </c>
      <c r="C21" s="1" t="str">
        <f>VLOOKUP(_xlfn.NUMBERVALUE(SUBSTITUTE($B$21," ","")),$B$2:$G$15,2,FALSE)</f>
        <v>Adriana Hoyos</v>
      </c>
    </row>
  </sheetData>
  <sortState xmlns:xlrd2="http://schemas.microsoft.com/office/spreadsheetml/2017/richdata2" ref="C2:G15">
    <sortCondition ref="C2:C15"/>
  </sortState>
  <phoneticPr fontId="1" type="noConversion"/>
  <pageMargins left="0.75" right="0.75" top="1" bottom="1" header="0" footer="0"/>
  <pageSetup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>U.P.B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Ruth</dc:creator>
  <cp:lastModifiedBy>Gustavo Palacios</cp:lastModifiedBy>
  <cp:lastPrinted>2007-06-19T19:04:57Z</cp:lastPrinted>
  <dcterms:created xsi:type="dcterms:W3CDTF">2007-03-08T15:58:02Z</dcterms:created>
  <dcterms:modified xsi:type="dcterms:W3CDTF">2026-03-06T11:19:56Z</dcterms:modified>
</cp:coreProperties>
</file>