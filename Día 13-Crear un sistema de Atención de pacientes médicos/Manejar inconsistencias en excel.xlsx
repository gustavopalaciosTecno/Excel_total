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3-Crear un sistema de Atención de pacientes médicos\"/>
    </mc:Choice>
  </mc:AlternateContent>
  <xr:revisionPtr revIDLastSave="0" documentId="13_ncr:1_{22CD31D8-6C3B-465A-BF98-3C47F047E620}" xr6:coauthVersionLast="47" xr6:coauthVersionMax="47" xr10:uidLastSave="{00000000-0000-0000-0000-000000000000}"/>
  <bookViews>
    <workbookView xWindow="-108" yWindow="-108" windowWidth="23256" windowHeight="13896" xr2:uid="{A1E8A42A-FD3E-4C65-8D3D-A879EE58A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<sst xmlns="http://schemas.openxmlformats.org/spreadsheetml/2006/main" count="57" uniqueCount="41">
  <si>
    <t xml:space="preserve">MATRÍCULA </t>
  </si>
  <si>
    <t>TELÉFONO</t>
  </si>
  <si>
    <t>NOMBRE</t>
  </si>
  <si>
    <t>CARGO</t>
  </si>
  <si>
    <t>SALARIO</t>
  </si>
  <si>
    <t>FECHA INICIO</t>
  </si>
  <si>
    <t>Maestra</t>
  </si>
  <si>
    <t>Plomero</t>
  </si>
  <si>
    <t>Masajista</t>
  </si>
  <si>
    <t>FECHA NACIMIENTO</t>
  </si>
  <si>
    <t>Buscar</t>
  </si>
  <si>
    <t>Paco 375</t>
  </si>
  <si>
    <t>Paco 785</t>
  </si>
  <si>
    <t>Paco 186</t>
  </si>
  <si>
    <t>Paco 985</t>
  </si>
  <si>
    <t>Paco 227</t>
  </si>
  <si>
    <t>Paco 352</t>
  </si>
  <si>
    <t>Paco 440</t>
  </si>
  <si>
    <t>Paco 435</t>
  </si>
  <si>
    <t>Paco 963</t>
  </si>
  <si>
    <t>Paco 791</t>
  </si>
  <si>
    <t>Paco 158</t>
  </si>
  <si>
    <t>Paco 941</t>
  </si>
  <si>
    <t>Paco 261</t>
  </si>
  <si>
    <t>Paco 468</t>
  </si>
  <si>
    <t>Paco 414</t>
  </si>
  <si>
    <t>Paco 172</t>
  </si>
  <si>
    <t>EMP132</t>
  </si>
  <si>
    <t>EMP972</t>
  </si>
  <si>
    <t>EMP840</t>
  </si>
  <si>
    <t>EMP974</t>
  </si>
  <si>
    <t>EMP981</t>
  </si>
  <si>
    <t>EMP507</t>
  </si>
  <si>
    <t>EMP752</t>
  </si>
  <si>
    <t>EMP675</t>
  </si>
  <si>
    <t>EMP685</t>
  </si>
  <si>
    <t>EMP269</t>
  </si>
  <si>
    <t>EMP871</t>
  </si>
  <si>
    <t>EMP946</t>
  </si>
  <si>
    <t>EMP886</t>
  </si>
  <si>
    <t>EMP359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</si>
</sst>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44" fontId="2" fillId="0" borderId="1" xfId="1" applyFont="1" applyBorder="1"/>
    <xf numFmtId="14" fontId="2" fillId="0" borderId="1" xfId="0" applyNumberFormat="1" applyFont="1" applyBorder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D4B8-CD23-4E51-B818-101DC7A6C4AB}">
  <dimension ref="A1:G21"/>
  <sheetViews>
    <sheetView tabSelected="1" workbookViewId="0">
      <selection activeCell="B24" sqref="B24"/>
    </sheetView>
  </sheetViews>
  <sheetFormatPr baseColWidth="10" defaultRowHeight="14.4" x14ac:dyDescent="0.3"/>
  <cols>
    <col min="1" max="6" width="15.77734375" customWidth="1"/>
    <col min="7" max="7" width="18.77734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ht="15.6" x14ac:dyDescent="0.3">
      <c r="A2" s="1" t="s">
        <v>27</v>
      </c>
      <c r="B2" s="1">
        <v>10030160</v>
      </c>
      <c r="C2" s="1" t="s">
        <v>11</v>
      </c>
      <c r="D2" s="1" t="s">
        <v>6</v>
      </c>
      <c r="E2" s="2">
        <v>841572</v>
      </c>
      <c r="F2" s="3">
        <v>45781</v>
      </c>
      <c r="G2" s="3">
        <v>26839</v>
      </c>
    </row>
    <row r="3" spans="1:7" ht="15.6" x14ac:dyDescent="0.3">
      <c r="A3" s="1" t="s">
        <v>28</v>
      </c>
      <c r="B3" s="1">
        <v>9657618</v>
      </c>
      <c r="C3" s="1" t="s">
        <v>12</v>
      </c>
      <c r="D3" s="1" t="s">
        <v>7</v>
      </c>
      <c r="E3" s="2">
        <v>97301</v>
      </c>
      <c r="F3" s="3">
        <v>45953</v>
      </c>
      <c r="G3" s="3">
        <v>32333</v>
      </c>
    </row>
    <row r="4" spans="1:7" ht="15.6" x14ac:dyDescent="0.3">
      <c r="A4" s="1" t="s">
        <v>29</v>
      </c>
      <c r="B4" s="1">
        <v>9884158</v>
      </c>
      <c r="C4" s="1" t="s">
        <v>13</v>
      </c>
      <c r="D4" s="1" t="s">
        <v>8</v>
      </c>
      <c r="E4" s="2">
        <v>221791</v>
      </c>
      <c r="F4" s="3">
        <v>45758</v>
      </c>
      <c r="G4" s="3">
        <v>27687</v>
      </c>
    </row>
    <row r="5" spans="1:7" ht="15.6" x14ac:dyDescent="0.3">
      <c r="A5" s="1" t="s">
        <v>30</v>
      </c>
      <c r="B5" s="1">
        <v>10234160</v>
      </c>
      <c r="C5" s="1" t="s">
        <v>14</v>
      </c>
      <c r="D5" s="1" t="s">
        <v>6</v>
      </c>
      <c r="E5" s="2">
        <v>531500</v>
      </c>
      <c r="F5" s="3">
        <v>45777</v>
      </c>
      <c r="G5" s="3">
        <v>35097</v>
      </c>
    </row>
    <row r="6" spans="1:7" ht="15.6" x14ac:dyDescent="0.3">
      <c r="A6" s="1" t="s">
        <v>31</v>
      </c>
      <c r="B6" s="1">
        <v>10394959</v>
      </c>
      <c r="C6" s="1" t="s">
        <v>15</v>
      </c>
      <c r="D6" s="1" t="s">
        <v>7</v>
      </c>
      <c r="E6" s="2">
        <v>378729</v>
      </c>
      <c r="F6" s="3">
        <v>45819</v>
      </c>
      <c r="G6" s="3">
        <v>32008</v>
      </c>
    </row>
    <row r="7" spans="1:7" ht="15.6" x14ac:dyDescent="0.3">
      <c r="A7" s="1" t="s">
        <v>32</v>
      </c>
      <c r="B7" s="1">
        <v>9810980</v>
      </c>
      <c r="C7" s="1" t="s">
        <v>16</v>
      </c>
      <c r="D7" s="1" t="s">
        <v>8</v>
      </c>
      <c r="E7" s="2">
        <v>885472</v>
      </c>
      <c r="F7" s="3">
        <v>45927</v>
      </c>
      <c r="G7" s="3">
        <v>36425</v>
      </c>
    </row>
    <row r="8" spans="1:7" ht="15.6" x14ac:dyDescent="0.3">
      <c r="A8" s="1" t="s">
        <v>33</v>
      </c>
      <c r="B8" s="1">
        <v>9877533</v>
      </c>
      <c r="C8" s="1" t="s">
        <v>17</v>
      </c>
      <c r="D8" s="1" t="s">
        <v>6</v>
      </c>
      <c r="E8" s="2">
        <v>764037</v>
      </c>
      <c r="F8" s="3">
        <v>45885</v>
      </c>
      <c r="G8" s="3">
        <v>26567</v>
      </c>
    </row>
    <row r="9" spans="1:7" ht="15.6" x14ac:dyDescent="0.3">
      <c r="A9" s="1" t="s">
        <v>30</v>
      </c>
      <c r="B9" s="1">
        <v>9767577</v>
      </c>
      <c r="C9" s="1" t="s">
        <v>18</v>
      </c>
      <c r="D9" s="1" t="s">
        <v>7</v>
      </c>
      <c r="E9" s="2">
        <v>965761</v>
      </c>
      <c r="F9" s="3">
        <v>45864</v>
      </c>
      <c r="G9" s="3">
        <v>32926</v>
      </c>
    </row>
    <row r="10" spans="1:7" ht="15.6" x14ac:dyDescent="0.3">
      <c r="A10" s="1" t="s">
        <v>34</v>
      </c>
      <c r="B10" s="1">
        <v>9692156</v>
      </c>
      <c r="C10" s="1" t="s">
        <v>19</v>
      </c>
      <c r="D10" s="1" t="s">
        <v>8</v>
      </c>
      <c r="E10" s="2">
        <v>664038</v>
      </c>
      <c r="F10" s="3">
        <v>45806</v>
      </c>
      <c r="G10" s="3">
        <v>33917</v>
      </c>
    </row>
    <row r="11" spans="1:7" ht="15.6" x14ac:dyDescent="0.3">
      <c r="A11" s="1" t="s">
        <v>35</v>
      </c>
      <c r="B11" s="1">
        <v>10222367</v>
      </c>
      <c r="C11" s="1" t="s">
        <v>20</v>
      </c>
      <c r="D11" s="1" t="s">
        <v>6</v>
      </c>
      <c r="E11" s="2">
        <v>362625</v>
      </c>
      <c r="F11" s="3">
        <v>45917</v>
      </c>
      <c r="G11" s="3">
        <v>26642</v>
      </c>
    </row>
    <row r="12" spans="1:7" ht="15.6" x14ac:dyDescent="0.3">
      <c r="A12" s="1" t="s">
        <v>36</v>
      </c>
      <c r="B12" s="1">
        <v>10267198</v>
      </c>
      <c r="C12" s="1" t="s">
        <v>21</v>
      </c>
      <c r="D12" s="1" t="s">
        <v>7</v>
      </c>
      <c r="E12" s="2">
        <v>278611</v>
      </c>
      <c r="F12" s="3">
        <v>45971</v>
      </c>
      <c r="G12" s="3">
        <v>37504</v>
      </c>
    </row>
    <row r="13" spans="1:7" ht="15.6" x14ac:dyDescent="0.3">
      <c r="A13" s="1" t="s">
        <v>37</v>
      </c>
      <c r="B13" s="1">
        <v>9647963</v>
      </c>
      <c r="C13" s="1" t="s">
        <v>22</v>
      </c>
      <c r="D13" s="1" t="s">
        <v>8</v>
      </c>
      <c r="E13" s="2">
        <v>588232</v>
      </c>
      <c r="F13" s="3">
        <v>45722</v>
      </c>
      <c r="G13" s="3">
        <v>36708</v>
      </c>
    </row>
    <row r="14" spans="1:7" ht="15.6" x14ac:dyDescent="0.3">
      <c r="A14" s="1" t="s">
        <v>38</v>
      </c>
      <c r="B14" s="1">
        <v>9837496</v>
      </c>
      <c r="C14" s="1" t="s">
        <v>23</v>
      </c>
      <c r="D14" s="1" t="s">
        <v>6</v>
      </c>
      <c r="E14" s="2">
        <v>98378</v>
      </c>
      <c r="F14" s="3">
        <v>45685</v>
      </c>
      <c r="G14" s="3">
        <v>38812</v>
      </c>
    </row>
    <row r="15" spans="1:7" ht="15.6" x14ac:dyDescent="0.3">
      <c r="A15" s="1" t="s">
        <v>39</v>
      </c>
      <c r="B15" s="1">
        <v>10063905</v>
      </c>
      <c r="C15" s="1" t="s">
        <v>24</v>
      </c>
      <c r="D15" s="1" t="s">
        <v>7</v>
      </c>
      <c r="E15" s="2">
        <v>441631</v>
      </c>
      <c r="F15" s="3">
        <v>45884</v>
      </c>
      <c r="G15" s="3">
        <v>28399</v>
      </c>
    </row>
    <row r="16" spans="1:7" ht="15.6" x14ac:dyDescent="0.3">
      <c r="A16" s="1" t="s">
        <v>40</v>
      </c>
      <c r="B16" s="1">
        <v>9927692</v>
      </c>
      <c r="C16" s="1" t="s">
        <v>25</v>
      </c>
      <c r="D16" s="1" t="s">
        <v>8</v>
      </c>
      <c r="E16" s="2">
        <v>470246</v>
      </c>
      <c r="F16" s="3">
        <v>46009</v>
      </c>
      <c r="G16" s="3">
        <v>37528</v>
      </c>
    </row>
    <row r="17" spans="1:7" ht="15.6" x14ac:dyDescent="0.3">
      <c r="A17" s="1" t="s">
        <v>36</v>
      </c>
      <c r="B17" s="1">
        <v>9831929</v>
      </c>
      <c r="C17" s="1" t="s">
        <v>26</v>
      </c>
      <c r="D17" s="1" t="s">
        <v>6</v>
      </c>
      <c r="E17" s="2">
        <v>545703</v>
      </c>
      <c r="F17" s="3">
        <v>45937</v>
      </c>
      <c r="G17" s="3">
        <v>36160</v>
      </c>
    </row>
    <row r="20" spans="1:7" ht="18" x14ac:dyDescent="0.35">
      <c r="A20" s="5" t="s">
        <v>10</v>
      </c>
      <c r="B20" s="4"/>
      <c r="C20" s="4"/>
      <c r="D20" s="4"/>
      <c r="E20" s="4"/>
      <c r="F20" s="4"/>
      <c r="G20" s="4"/>
    </row>
    <row r="21" spans="1:7" ht="18" x14ac:dyDescent="0.35">
      <c r="A21" s="4" t="s">
        <v>31</v>
      </c>
      <c r="B21" s="4">
        <f>VLOOKUP(SUBSTITUTE($A$21," ",""),$A$1:$G$17,2,FALSE)</f>
        <v>10394959</v>
      </c>
      <c r="C21" s="4" t="str">
        <f>VLOOKUP(SUBSTITUTE($A$21," ",""),$A$1:$G$17,3,FALSE)</f>
        <v>Paco 227</v>
      </c>
      <c r="D21" s="4" t="str">
        <f>VLOOKUP(SUBSTITUTE($A$21," ",""),$A$1:$G$17,4,FALSE)</f>
        <v>Plomero</v>
      </c>
      <c r="E21" s="7">
        <f>VLOOKUP(SUBSTITUTE($A$21," ",""),$A$1:$G$17,5,FALSE)</f>
        <v>378729</v>
      </c>
      <c r="F21" s="6">
        <f>VLOOKUP(SUBSTITUTE($A$21," ",""),$A$1:$G$17,6,FALSE)</f>
        <v>45819</v>
      </c>
      <c r="G21" s="6">
        <f>VLOOKUP(SUBSTITUTE($A$21," ",""),$A$1:$G$17,7,FALSE)</f>
        <v>32008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Palacios</dc:creator>
  <cp:lastModifiedBy>Gustavo Palacios</cp:lastModifiedBy>
  <dcterms:created xsi:type="dcterms:W3CDTF">2026-02-13T16:24:13Z</dcterms:created>
  <dcterms:modified xsi:type="dcterms:W3CDTF">2026-02-13T16:57:28Z</dcterms:modified>
</cp:coreProperties>
</file>