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12 - Planilla de Ingresos\Lección 12 - Transformar el Valor Tiempo en Valor Moneda\"/>
    </mc:Choice>
  </mc:AlternateContent>
  <xr:revisionPtr revIDLastSave="0" documentId="8_{729CCD6E-FE6E-4FA6-A22B-C38147382783}" xr6:coauthVersionLast="45" xr6:coauthVersionMax="45" xr10:uidLastSave="{00000000-0000-0000-0000-000000000000}"/>
  <bookViews>
    <workbookView xWindow="-120" yWindow="-120" windowWidth="24240" windowHeight="13140" activeTab="2" xr2:uid="{0BF097C5-080B-4589-B22F-6E3EADC05A76}"/>
  </bookViews>
  <sheets>
    <sheet name="Ingreso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3" l="1"/>
  <c r="C2" i="3"/>
  <c r="I13" i="4" l="1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C4" i="3" l="1"/>
  <c r="K7" i="4"/>
  <c r="H4" i="3"/>
  <c r="K12" i="4"/>
  <c r="G4" i="3"/>
  <c r="K11" i="4"/>
  <c r="K10" i="4"/>
  <c r="F4" i="3"/>
  <c r="K8" i="4"/>
  <c r="D4" i="3"/>
  <c r="I4" i="3"/>
  <c r="K13" i="4"/>
  <c r="K9" i="4"/>
  <c r="E4" i="3"/>
  <c r="J14" i="4"/>
  <c r="K14" i="4" l="1"/>
  <c r="K4" i="3" s="1"/>
</calcChain>
</file>

<file path=xl/sharedStrings.xml><?xml version="1.0" encoding="utf-8"?>
<sst xmlns="http://schemas.openxmlformats.org/spreadsheetml/2006/main" count="51" uniqueCount="47">
  <si>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</si>
  <si>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</si>
  <si>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</si>
  <si>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</si>
  <si>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</si>
  <si>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</si>
  <si>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</si>
  <si>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</si>
  <si>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</si>
  <si>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</si>
  <si>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NO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</si>
  <si>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</si>
  <si>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</si>
  <si>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</si>
  <si>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</si>
  <si>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</si>
  <si>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</si>
  <si>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</si>
  <si>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</si>
  <si>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</si>
  <si>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</si>
  <si>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</si>
  <si>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</si>
  <si>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</si>
  <si>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</si>
  <si>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</si>
  <si>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</si>
  <si>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</si>
  <si>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</si>
  <si>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</si>
  <si>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</si>
  <si>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</si>
  <si>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</si>
  <si>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</si>
  <si>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</si>
  <si>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</si>
  <si>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</si>
  <si>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</si>
  <si>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</si>
  <si>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</si>
  <si>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</si>
  <si>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</si>
  <si>
    <t>RESTA</t>
  </si>
  <si>
    <t>Final</t>
  </si>
  <si>
    <t>Hora Fracción</t>
  </si>
  <si>
    <t>TOTAL</t>
  </si>
  <si>
    <t>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</si>
</sst>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dd\ dd\ &quot;de&quot;\ mmmm\ &quot;de&quot;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/>
    <xf numFmtId="4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20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0" fontId="0" fillId="4" borderId="0" xfId="0" applyNumberFormat="1" applyFill="1"/>
    <xf numFmtId="0" fontId="0" fillId="4" borderId="0" xfId="0" applyFill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44" fontId="0" fillId="0" borderId="0" xfId="0" applyNumberFormat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20" fontId="6" fillId="0" borderId="1" xfId="0" applyNumberFormat="1" applyFont="1" applyFill="1" applyBorder="1"/>
    <xf numFmtId="0" fontId="6" fillId="0" borderId="0" xfId="0" applyFont="1" applyFill="1"/>
    <xf numFmtId="0" fontId="6" fillId="6" borderId="1" xfId="0" applyFont="1" applyFill="1" applyBorder="1"/>
    <xf numFmtId="0" fontId="6" fillId="0" borderId="0" xfId="0" applyFont="1"/>
    <xf numFmtId="44" fontId="6" fillId="0" borderId="1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69F-D3E4-48A2-8815-B4353C7EA579}">
  <dimension ref="B2:K22"/>
  <sheetViews>
    <sheetView workbookViewId="0">
      <selection activeCell="J18" sqref="J18"/>
    </sheetView>
  </sheetViews>
  <sheetFormatPr baseColWidth="10" defaultRowHeight="15" x14ac:dyDescent="0.25"/>
  <cols>
    <col min="1" max="1" width="2.140625" customWidth="1"/>
    <col min="10" max="10" width="22.85546875" customWidth="1"/>
    <col min="11" max="11" width="12" bestFit="1" customWidth="1"/>
  </cols>
  <sheetData>
    <row r="2" spans="2:11" x14ac:dyDescent="0.25">
      <c r="B2" s="9" t="s">
        <v>41</v>
      </c>
      <c r="C2" s="15" t="s">
        <v>46</v>
      </c>
      <c r="D2" s="15"/>
      <c r="E2" s="15"/>
      <c r="F2" s="15"/>
      <c r="G2" s="15"/>
    </row>
    <row r="3" spans="2:11" x14ac:dyDescent="0.25">
      <c r="B3" s="9" t="s">
        <v>40</v>
      </c>
      <c r="C3" s="14">
        <v>44007</v>
      </c>
      <c r="D3" s="14"/>
      <c r="E3" s="14"/>
      <c r="F3" s="14"/>
      <c r="G3" s="14"/>
    </row>
    <row r="5" spans="2:11" x14ac:dyDescent="0.25">
      <c r="C5" s="18" t="s">
        <v>39</v>
      </c>
      <c r="D5" s="19"/>
      <c r="E5" s="20" t="s">
        <v>38</v>
      </c>
      <c r="F5" s="20"/>
      <c r="G5" s="20"/>
    </row>
    <row r="6" spans="2:11" x14ac:dyDescent="0.25">
      <c r="C6" s="10" t="s">
        <v>37</v>
      </c>
      <c r="D6" s="10" t="s">
        <v>36</v>
      </c>
      <c r="E6" s="11" t="s">
        <v>4</v>
      </c>
      <c r="F6" s="11" t="s">
        <v>9</v>
      </c>
      <c r="G6" s="11" t="s">
        <v>35</v>
      </c>
      <c r="I6" s="12" t="s">
        <v>42</v>
      </c>
      <c r="J6" s="28" t="s">
        <v>43</v>
      </c>
      <c r="K6" s="31" t="s">
        <v>45</v>
      </c>
    </row>
    <row r="7" spans="2:11" x14ac:dyDescent="0.25">
      <c r="B7" s="8" t="s">
        <v>34</v>
      </c>
      <c r="C7" s="7">
        <v>0.375</v>
      </c>
      <c r="D7" s="6">
        <v>0.4375</v>
      </c>
      <c r="E7" s="5"/>
      <c r="F7" s="5"/>
      <c r="G7" s="5">
        <v>10</v>
      </c>
      <c r="I7" s="13">
        <f t="shared" ref="I7:I13" si="0">D7-C7</f>
        <v>6.25E-2</v>
      </c>
      <c r="J7" s="27">
        <f>IF(HOUR(I7)&lt;1,_xlfn.CEILING.MATH(I7,"01:00"),_xlfn.CEILING.MATH(I7,"00:10"))</f>
        <v>6.25E-2</v>
      </c>
      <c r="K7" s="32">
        <f>((HOUR(J7)*'Lista de Precios'!$C$5)+(MINUTE(J7)/10*'Lista de Precios'!$E$5))*G7</f>
        <v>1450</v>
      </c>
    </row>
    <row r="8" spans="2:11" x14ac:dyDescent="0.25">
      <c r="B8" s="8" t="s">
        <v>33</v>
      </c>
      <c r="C8" s="7">
        <v>0.44791666666666669</v>
      </c>
      <c r="D8" s="6">
        <v>0.49583333333333335</v>
      </c>
      <c r="E8" s="5"/>
      <c r="F8" s="5"/>
      <c r="G8" s="5">
        <v>12</v>
      </c>
      <c r="I8" s="13">
        <f t="shared" si="0"/>
        <v>4.7916666666666663E-2</v>
      </c>
      <c r="J8" s="27">
        <f t="shared" ref="J8:J13" si="1">IF(HOUR(I8)&lt;1,_xlfn.CEILING.MATH(I8,"01:00"),_xlfn.CEILING.MATH(I8,"00:10"))</f>
        <v>4.8611111111111105E-2</v>
      </c>
      <c r="K8" s="32">
        <f>((HOUR(J8)*'Lista de Precios'!$C$5)+(MINUTE(J8)/10*'Lista de Precios'!$E$5))*G8</f>
        <v>1380</v>
      </c>
    </row>
    <row r="9" spans="2:11" x14ac:dyDescent="0.25">
      <c r="B9" s="8" t="s">
        <v>32</v>
      </c>
      <c r="C9" s="7">
        <v>0.50069444444444444</v>
      </c>
      <c r="D9" s="6">
        <v>0.53055555555555556</v>
      </c>
      <c r="E9" s="5"/>
      <c r="F9" s="5"/>
      <c r="G9" s="5">
        <v>11</v>
      </c>
      <c r="I9" s="13">
        <f t="shared" si="0"/>
        <v>2.9861111111111116E-2</v>
      </c>
      <c r="J9" s="27">
        <f t="shared" si="1"/>
        <v>4.1666666666666664E-2</v>
      </c>
      <c r="K9" s="32">
        <f>((HOUR(J9)*'Lista de Precios'!$C$5)+(MINUTE(J9)/10*'Lista de Precios'!$E$5))*G9</f>
        <v>1100</v>
      </c>
    </row>
    <row r="10" spans="2:11" x14ac:dyDescent="0.25">
      <c r="B10" s="8" t="s">
        <v>31</v>
      </c>
      <c r="C10" s="7">
        <v>0.55555555555555558</v>
      </c>
      <c r="D10" s="6">
        <v>0.63958333333333328</v>
      </c>
      <c r="E10" s="5"/>
      <c r="F10" s="5"/>
      <c r="G10" s="5">
        <v>15</v>
      </c>
      <c r="I10" s="13">
        <f t="shared" si="0"/>
        <v>8.4027777777777701E-2</v>
      </c>
      <c r="J10" s="27">
        <f t="shared" si="1"/>
        <v>9.0277777777777776E-2</v>
      </c>
      <c r="K10" s="32">
        <f>((HOUR(J10)*'Lista de Precios'!$C$5)+(MINUTE(J10)/10*'Lista de Precios'!$E$5))*G10</f>
        <v>3225</v>
      </c>
    </row>
    <row r="11" spans="2:11" x14ac:dyDescent="0.25">
      <c r="B11" s="8" t="s">
        <v>30</v>
      </c>
      <c r="C11" s="7">
        <v>0.64583333333333337</v>
      </c>
      <c r="D11" s="6">
        <v>0.75347222222222221</v>
      </c>
      <c r="E11" s="5"/>
      <c r="F11" s="5"/>
      <c r="G11" s="5">
        <v>13</v>
      </c>
      <c r="I11" s="13">
        <f t="shared" si="0"/>
        <v>0.10763888888888884</v>
      </c>
      <c r="J11" s="27">
        <f t="shared" si="1"/>
        <v>0.1111111111111111</v>
      </c>
      <c r="K11" s="32">
        <f>((HOUR(J11)*'Lista de Precios'!$C$5)+(MINUTE(J11)/10*'Lista de Precios'!$E$5))*G11</f>
        <v>3380</v>
      </c>
    </row>
    <row r="12" spans="2:11" x14ac:dyDescent="0.25">
      <c r="B12" s="8" t="s">
        <v>29</v>
      </c>
      <c r="C12" s="7">
        <v>0.79166666666666663</v>
      </c>
      <c r="D12" s="6">
        <v>0.83958333333333324</v>
      </c>
      <c r="E12" s="5"/>
      <c r="F12" s="5"/>
      <c r="G12" s="5">
        <v>10</v>
      </c>
      <c r="I12" s="13">
        <f t="shared" si="0"/>
        <v>4.7916666666666607E-2</v>
      </c>
      <c r="J12" s="27">
        <f t="shared" si="1"/>
        <v>4.8611111111111105E-2</v>
      </c>
      <c r="K12" s="32">
        <f>((HOUR(J12)*'Lista de Precios'!$C$5)+(MINUTE(J12)/10*'Lista de Precios'!$E$5))*G12</f>
        <v>1150</v>
      </c>
    </row>
    <row r="13" spans="2:11" x14ac:dyDescent="0.25">
      <c r="B13" s="8" t="s">
        <v>28</v>
      </c>
      <c r="C13" s="7">
        <v>0.875</v>
      </c>
      <c r="D13" s="6">
        <v>0.9375</v>
      </c>
      <c r="E13" s="5"/>
      <c r="F13" s="5"/>
      <c r="G13" s="5">
        <v>14</v>
      </c>
      <c r="I13" s="13">
        <f t="shared" si="0"/>
        <v>6.25E-2</v>
      </c>
      <c r="J13" s="27">
        <f t="shared" si="1"/>
        <v>6.25E-2</v>
      </c>
      <c r="K13" s="32">
        <f>((HOUR(J13)*'Lista de Precios'!$C$5)+(MINUTE(J13)/10*'Lista de Precios'!$E$5))*G13</f>
        <v>2030</v>
      </c>
    </row>
    <row r="14" spans="2:11" x14ac:dyDescent="0.25">
      <c r="J14" s="13">
        <f>SUM(J7:J13)</f>
        <v>0.46527777777777773</v>
      </c>
      <c r="K14" s="32">
        <f>SUM(K7:K13)</f>
        <v>13715</v>
      </c>
    </row>
    <row r="15" spans="2:11" x14ac:dyDescent="0.25">
      <c r="B15" s="21" t="s">
        <v>27</v>
      </c>
      <c r="C15" s="21"/>
      <c r="D15" s="21"/>
      <c r="E15" s="21"/>
      <c r="F15" s="21"/>
      <c r="G15" s="21"/>
    </row>
    <row r="16" spans="2:11" x14ac:dyDescent="0.25">
      <c r="B16" s="22"/>
      <c r="C16" s="22"/>
      <c r="D16" s="22"/>
      <c r="E16" s="22"/>
      <c r="F16" s="22"/>
      <c r="G16" s="22"/>
    </row>
    <row r="17" spans="2:7" x14ac:dyDescent="0.25">
      <c r="B17" s="22"/>
      <c r="C17" s="22"/>
      <c r="D17" s="22"/>
      <c r="E17" s="22"/>
      <c r="F17" s="22"/>
      <c r="G17" s="22"/>
    </row>
    <row r="18" spans="2:7" x14ac:dyDescent="0.25">
      <c r="B18" s="16"/>
      <c r="C18" s="16"/>
      <c r="D18" s="16"/>
      <c r="E18" s="17" t="s">
        <v>26</v>
      </c>
      <c r="F18" s="17"/>
      <c r="G18" s="17"/>
    </row>
    <row r="19" spans="2:7" x14ac:dyDescent="0.25">
      <c r="B19" s="16"/>
      <c r="C19" s="16"/>
      <c r="D19" s="16"/>
      <c r="E19" s="17"/>
      <c r="F19" s="17"/>
      <c r="G19" s="17"/>
    </row>
    <row r="20" spans="2:7" x14ac:dyDescent="0.25">
      <c r="B20" s="16"/>
      <c r="C20" s="16"/>
      <c r="D20" s="16"/>
      <c r="E20" s="17"/>
      <c r="F20" s="17"/>
      <c r="G20" s="17"/>
    </row>
    <row r="21" spans="2:7" x14ac:dyDescent="0.25">
      <c r="B21" s="16"/>
      <c r="C21" s="16"/>
      <c r="D21" s="16"/>
      <c r="E21" s="17"/>
      <c r="F21" s="17"/>
      <c r="G21" s="17"/>
    </row>
    <row r="22" spans="2:7" x14ac:dyDescent="0.25">
      <c r="B22" s="16"/>
      <c r="C22" s="16"/>
      <c r="D22" s="16"/>
      <c r="E22" s="17"/>
      <c r="F22" s="17"/>
      <c r="G22" s="17"/>
    </row>
  </sheetData>
  <mergeCells count="8">
    <mergeCell ref="C3:G3"/>
    <mergeCell ref="C2:G2"/>
    <mergeCell ref="B18:D22"/>
    <mergeCell ref="E18:G22"/>
    <mergeCell ref="C5:D5"/>
    <mergeCell ref="E5:G5"/>
    <mergeCell ref="B15:G15"/>
    <mergeCell ref="B16:G17"/>
  </mergeCells>
  <dataValidations count="4">
    <dataValidation type="date" operator="greaterThanOrEqual" allowBlank="1" showInputMessage="1" showErrorMessage="1" sqref="C3:G3" xr:uid="{84FB7571-13FB-4BEC-8FE4-6649EAF705B4}">
      <formula1>TODAY()</formula1>
    </dataValidation>
    <dataValidation type="time" allowBlank="1" showInputMessage="1" showErrorMessage="1" sqref="D7:D13" xr:uid="{24AE6C12-29CA-493F-8D68-002C9E2BA805}">
      <formula1>C7</formula1>
      <formula2>0.958333333333333</formula2>
    </dataValidation>
    <dataValidation type="time" allowBlank="1" showInputMessage="1" showErrorMessage="1" sqref="C8:C13" xr:uid="{083DFEEC-24CC-40D8-9AA3-186E4AE5E9F3}">
      <formula1>D7</formula1>
      <formula2>0.958333333333333</formula2>
    </dataValidation>
    <dataValidation type="time" allowBlank="1" showInputMessage="1" showErrorMessage="1" sqref="C7" xr:uid="{9A36F163-63A6-4EB1-97BD-B63F7B007761}">
      <formula1>0.375</formula1>
      <formula2>0.958333333333333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E6" sqref="E6"/>
    </sheetView>
  </sheetViews>
  <sheetFormatPr baseColWidth="10" defaultRowHeight="15" x14ac:dyDescent="0.25"/>
  <cols>
    <col min="2" max="2" width="24.7109375" customWidth="1"/>
    <col min="5" max="5" width="12.85546875" bestFit="1" customWidth="1"/>
  </cols>
  <sheetData>
    <row r="2" spans="2:7" ht="23.25" x14ac:dyDescent="0.35">
      <c r="B2" s="25" t="s">
        <v>0</v>
      </c>
      <c r="C2" s="25"/>
      <c r="D2" s="25"/>
    </row>
    <row r="4" spans="2:7" x14ac:dyDescent="0.25">
      <c r="B4" s="24" t="s">
        <v>1</v>
      </c>
      <c r="C4" s="1" t="s">
        <v>2</v>
      </c>
      <c r="D4" s="1" t="s">
        <v>3</v>
      </c>
      <c r="E4" s="1" t="s">
        <v>44</v>
      </c>
    </row>
    <row r="5" spans="2:7" x14ac:dyDescent="0.25">
      <c r="B5" s="24"/>
      <c r="C5" s="2">
        <v>100</v>
      </c>
      <c r="D5" s="2">
        <v>8</v>
      </c>
      <c r="E5" s="2">
        <v>15</v>
      </c>
    </row>
    <row r="6" spans="2:7" x14ac:dyDescent="0.25">
      <c r="B6" s="24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25">
      <c r="B7" s="24"/>
      <c r="C7" s="2">
        <v>0</v>
      </c>
      <c r="D7" s="2">
        <v>30</v>
      </c>
      <c r="E7" s="2">
        <v>60</v>
      </c>
      <c r="F7" s="2">
        <v>120</v>
      </c>
    </row>
    <row r="8" spans="2:7" x14ac:dyDescent="0.25">
      <c r="B8" s="24" t="s">
        <v>9</v>
      </c>
      <c r="C8" s="1" t="s">
        <v>10</v>
      </c>
      <c r="D8" s="1" t="s">
        <v>11</v>
      </c>
      <c r="E8" s="1" t="s">
        <v>6</v>
      </c>
      <c r="F8" s="1" t="s">
        <v>12</v>
      </c>
      <c r="G8" s="1" t="s">
        <v>13</v>
      </c>
    </row>
    <row r="9" spans="2:7" x14ac:dyDescent="0.25">
      <c r="B9" s="24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25">
      <c r="B10" s="24" t="s">
        <v>14</v>
      </c>
      <c r="C10" s="1" t="s">
        <v>15</v>
      </c>
      <c r="D10" s="1" t="s">
        <v>16</v>
      </c>
      <c r="E10" s="1" t="s">
        <v>17</v>
      </c>
    </row>
    <row r="11" spans="2:7" x14ac:dyDescent="0.25">
      <c r="B11" s="24"/>
      <c r="C11" s="2">
        <v>0</v>
      </c>
      <c r="D11" s="2">
        <v>10</v>
      </c>
      <c r="E11" s="2">
        <v>15</v>
      </c>
    </row>
    <row r="13" spans="2:7" ht="23.25" x14ac:dyDescent="0.35">
      <c r="B13" s="26" t="s">
        <v>18</v>
      </c>
      <c r="C13" s="26"/>
      <c r="D13" s="26"/>
    </row>
    <row r="15" spans="2:7" x14ac:dyDescent="0.25">
      <c r="B15" s="3" t="s">
        <v>19</v>
      </c>
      <c r="C15" s="2">
        <v>160</v>
      </c>
    </row>
    <row r="16" spans="2:7" x14ac:dyDescent="0.25">
      <c r="B16" s="3" t="s">
        <v>20</v>
      </c>
      <c r="C16" s="2">
        <v>300</v>
      </c>
    </row>
    <row r="17" spans="2:5" x14ac:dyDescent="0.25">
      <c r="B17" s="3" t="s">
        <v>21</v>
      </c>
      <c r="C17" s="2">
        <v>100</v>
      </c>
    </row>
    <row r="18" spans="2:5" x14ac:dyDescent="0.25">
      <c r="B18" s="3" t="s">
        <v>22</v>
      </c>
      <c r="C18" s="2">
        <v>70</v>
      </c>
    </row>
    <row r="20" spans="2:5" x14ac:dyDescent="0.25">
      <c r="B20" s="23" t="s">
        <v>14</v>
      </c>
      <c r="C20" s="4" t="s">
        <v>23</v>
      </c>
      <c r="D20" s="4" t="s">
        <v>24</v>
      </c>
      <c r="E20" s="4" t="s">
        <v>25</v>
      </c>
    </row>
    <row r="21" spans="2:5" x14ac:dyDescent="0.25">
      <c r="B21" s="23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5"/>
  <sheetViews>
    <sheetView showGridLines="0" tabSelected="1" workbookViewId="0">
      <selection activeCell="C2" sqref="C2:E2"/>
    </sheetView>
  </sheetViews>
  <sheetFormatPr baseColWidth="10" defaultRowHeight="15" x14ac:dyDescent="0.25"/>
  <cols>
    <col min="1" max="1" width="5" customWidth="1"/>
    <col min="2" max="2" width="19.28515625" customWidth="1"/>
    <col min="3" max="9" width="4.85546875" customWidth="1"/>
    <col min="10" max="10" width="1" customWidth="1"/>
  </cols>
  <sheetData>
    <row r="1" spans="3:11" ht="94.5" customHeight="1" x14ac:dyDescent="0.25"/>
    <row r="2" spans="3:11" x14ac:dyDescent="0.25">
      <c r="C2" s="33" t="str">
        <f>Ingreso!C2</f>
        <v>Federico</v>
      </c>
      <c r="D2" s="33"/>
      <c r="E2" s="33"/>
      <c r="I2" s="34">
        <f>Ingreso!C3</f>
        <v>44007</v>
      </c>
      <c r="J2" s="34"/>
      <c r="K2" s="34"/>
    </row>
    <row r="3" spans="3:11" ht="20.25" customHeight="1" x14ac:dyDescent="0.25"/>
    <row r="4" spans="3:11" x14ac:dyDescent="0.25">
      <c r="C4" s="35">
        <f>Ingreso!J7</f>
        <v>6.25E-2</v>
      </c>
      <c r="D4" s="35">
        <f>Ingreso!J8</f>
        <v>4.8611111111111105E-2</v>
      </c>
      <c r="E4" s="35">
        <f>Ingreso!J9</f>
        <v>4.1666666666666664E-2</v>
      </c>
      <c r="F4" s="35">
        <f>Ingreso!J10</f>
        <v>9.0277777777777776E-2</v>
      </c>
      <c r="G4" s="35">
        <f>Ingreso!J11</f>
        <v>0.1111111111111111</v>
      </c>
      <c r="H4" s="35">
        <f>Ingreso!J12</f>
        <v>4.8611111111111105E-2</v>
      </c>
      <c r="I4" s="35">
        <f>Ingreso!J13</f>
        <v>6.25E-2</v>
      </c>
      <c r="J4" s="36"/>
      <c r="K4" s="39">
        <f>Ingreso!K14</f>
        <v>13715</v>
      </c>
    </row>
    <row r="5" spans="3:11" x14ac:dyDescent="0.25">
      <c r="C5" s="37"/>
      <c r="D5" s="37"/>
      <c r="E5" s="37"/>
      <c r="F5" s="37"/>
      <c r="G5" s="37"/>
      <c r="H5" s="37"/>
      <c r="I5" s="37"/>
      <c r="J5" s="38"/>
      <c r="K5" s="37"/>
    </row>
    <row r="6" spans="3:11" x14ac:dyDescent="0.25">
      <c r="C6" s="37"/>
      <c r="D6" s="37"/>
      <c r="E6" s="37"/>
      <c r="F6" s="37"/>
      <c r="G6" s="37"/>
      <c r="H6" s="37"/>
      <c r="I6" s="37"/>
      <c r="J6" s="38"/>
      <c r="K6" s="37"/>
    </row>
    <row r="7" spans="3:11" x14ac:dyDescent="0.25">
      <c r="C7" s="37"/>
      <c r="D7" s="37"/>
      <c r="E7" s="37"/>
      <c r="F7" s="37"/>
      <c r="G7" s="37"/>
      <c r="H7" s="37"/>
      <c r="I7" s="37"/>
      <c r="J7" s="38"/>
      <c r="K7" s="37"/>
    </row>
    <row r="8" spans="3:11" x14ac:dyDescent="0.25">
      <c r="C8" s="37"/>
      <c r="D8" s="37"/>
      <c r="E8" s="37"/>
      <c r="F8" s="37"/>
      <c r="G8" s="37"/>
      <c r="H8" s="37"/>
      <c r="I8" s="37"/>
      <c r="J8" s="38"/>
      <c r="K8" s="37"/>
    </row>
    <row r="9" spans="3:11" x14ac:dyDescent="0.25">
      <c r="K9" s="29"/>
    </row>
    <row r="10" spans="3:11" ht="4.5" customHeight="1" x14ac:dyDescent="0.25"/>
    <row r="11" spans="3:11" x14ac:dyDescent="0.25">
      <c r="C11" s="30"/>
      <c r="D11" s="30"/>
      <c r="E11" s="30"/>
      <c r="K11" s="29"/>
    </row>
    <row r="12" spans="3:11" x14ac:dyDescent="0.25">
      <c r="C12" s="30"/>
      <c r="D12" s="30"/>
      <c r="E12" s="30"/>
      <c r="K12" s="29"/>
    </row>
    <row r="13" spans="3:11" x14ac:dyDescent="0.25">
      <c r="C13" s="30"/>
      <c r="D13" s="30"/>
      <c r="E13" s="30"/>
    </row>
    <row r="14" spans="3:11" x14ac:dyDescent="0.25">
      <c r="K14" s="29"/>
    </row>
    <row r="15" spans="3:11" ht="4.5" customHeight="1" x14ac:dyDescent="0.25"/>
    <row r="17" spans="2:11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2:11" x14ac:dyDescent="0.25"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2:11" ht="6" customHeight="1" x14ac:dyDescent="0.25"/>
    <row r="21" spans="2:11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2:11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2:11" x14ac:dyDescent="0.25"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2:11" x14ac:dyDescent="0.25"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2:11" x14ac:dyDescent="0.25">
      <c r="C25" s="15"/>
      <c r="D25" s="15"/>
      <c r="E25" s="15"/>
      <c r="F25" s="15"/>
      <c r="G25" s="15"/>
      <c r="H25" s="15"/>
      <c r="I25" s="15"/>
      <c r="J25" s="15"/>
      <c r="K25" s="15"/>
    </row>
  </sheetData>
  <mergeCells count="8">
    <mergeCell ref="B17:K18"/>
    <mergeCell ref="B21:K24"/>
    <mergeCell ref="C25:K25"/>
    <mergeCell ref="I2:K2"/>
    <mergeCell ref="C2:E2"/>
    <mergeCell ref="C11:E11"/>
    <mergeCell ref="C12:E12"/>
    <mergeCell ref="C13:E1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2020-07-02T17:13:41Z</dcterms:created>
  <dcterms:modified xsi:type="dcterms:W3CDTF">2020-07-06T19:09:10Z</dcterms:modified>
</cp:coreProperties>
</file>