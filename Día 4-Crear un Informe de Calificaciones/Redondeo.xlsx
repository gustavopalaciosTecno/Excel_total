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4\"/>
    </mc:Choice>
  </mc:AlternateContent>
  <xr:revisionPtr revIDLastSave="0" documentId="13_ncr:1_{128AE152-0D78-4688-B706-5049805B0D45}" xr6:coauthVersionLast="47" xr6:coauthVersionMax="47" xr10:uidLastSave="{00000000-0000-0000-0000-000000000000}"/>
  <bookViews>
    <workbookView xWindow="-108" yWindow="-108" windowWidth="23256" windowHeight="13896" xr2:uid="{AB698C9C-3990-4F18-AD25-DD962E8419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" i="1" l="1"/>
  <c r="M13" i="1"/>
  <c r="M12" i="1"/>
  <c r="M11" i="1"/>
  <c r="M10" i="1"/>
  <c r="M9" i="1"/>
  <c r="M8" i="1"/>
  <c r="M7" i="1"/>
  <c r="N8" i="1"/>
  <c r="N9" i="1"/>
  <c r="N10" i="1"/>
  <c r="N11" i="1"/>
  <c r="N12" i="1"/>
  <c r="N13" i="1"/>
  <c r="N14" i="1"/>
  <c r="N7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J8" i="1"/>
  <c r="J9" i="1"/>
  <c r="J10" i="1"/>
  <c r="J11" i="1"/>
  <c r="J12" i="1"/>
  <c r="J13" i="1"/>
  <c r="J14" i="1"/>
  <c r="J7" i="1"/>
  <c r="I8" i="1"/>
  <c r="I9" i="1"/>
  <c r="I10" i="1"/>
  <c r="I11" i="1"/>
  <c r="I12" i="1"/>
  <c r="I13" i="1"/>
  <c r="I14" i="1"/>
  <c r="I7" i="1"/>
  <c r="H15" i="1"/>
  <c r="D15" i="1"/>
  <c r="E15" i="1"/>
  <c r="F15" i="1"/>
  <c r="G15" i="1"/>
  <c r="C15" i="1"/>
</calcChain>
</file>

<file path=xl/sharedStrings.xml><?xml version="1.0" encoding="utf-8"?>
<sst xmlns="http://schemas.openxmlformats.org/spreadsheetml/2006/main" count="24" uniqueCount="24">
  <si>
    <t>Artículos Lavados</t>
  </si>
  <si>
    <t>Lunes</t>
  </si>
  <si>
    <t>Martes</t>
  </si>
  <si>
    <t>Jueves</t>
  </si>
  <si>
    <t>Miércoles</t>
  </si>
  <si>
    <t>Viernes</t>
  </si>
  <si>
    <t>TOTAL</t>
  </si>
  <si>
    <t>Toallas Grandes</t>
  </si>
  <si>
    <t>Toallas Chicas</t>
  </si>
  <si>
    <t>Sábanas 2 y 1/2 plaza</t>
  </si>
  <si>
    <t>Sábanas 1 plaza</t>
  </si>
  <si>
    <t>Manteles redondos</t>
  </si>
  <si>
    <t>Manteles cuadrados</t>
  </si>
  <si>
    <t>Repasadores</t>
  </si>
  <si>
    <t>Delantales</t>
  </si>
  <si>
    <t>Promedio</t>
  </si>
  <si>
    <t>Sábado</t>
  </si>
  <si>
    <t>HOTEL PALACIOS  - Lavandería</t>
  </si>
  <si>
    <t>Redondear</t>
  </si>
  <si>
    <t>Redondear menos</t>
  </si>
  <si>
    <t>Redondear mas</t>
  </si>
  <si>
    <r>
      <t>si selecciono</t>
    </r>
    <r>
      <rPr>
        <b/>
        <sz val="14"/>
        <color rgb="FFFF0000"/>
        <rFont val="Calibri"/>
        <family val="2"/>
        <scheme val="minor"/>
      </rPr>
      <t xml:space="preserve"> Ctrl + 1 </t>
    </r>
    <r>
      <rPr>
        <b/>
        <sz val="14"/>
        <color theme="1"/>
        <rFont val="Calibri"/>
        <family val="2"/>
        <scheme val="minor"/>
      </rPr>
      <t>puedo ver los formatos de números y elegir la cantidad de decimales que aparezcan</t>
    </r>
  </si>
  <si>
    <r>
      <t xml:space="preserve">tambien puedo apretar </t>
    </r>
    <r>
      <rPr>
        <b/>
        <sz val="14"/>
        <color rgb="FFFF0000"/>
        <rFont val="Calibri"/>
        <family val="2"/>
        <scheme val="minor"/>
      </rPr>
      <t xml:space="preserve">Ctrl + l </t>
    </r>
    <r>
      <rPr>
        <b/>
        <sz val="14"/>
        <color theme="1"/>
        <rFont val="Calibri"/>
        <family val="2"/>
        <scheme val="minor"/>
      </rPr>
      <t>para reemplzar un valor de decimal por otro</t>
    </r>
  </si>
  <si>
    <t>ANIDAR REDONDEO Y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</si>
</sst>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2" fontId="0" fillId="0" borderId="0" xfId="0" applyNumberFormat="1"/>
    <xf numFmtId="2" fontId="2" fillId="0" borderId="0" xfId="0" applyNumberFormat="1" applyFont="1" applyAlignment="1"/>
    <xf numFmtId="2" fontId="1" fillId="0" borderId="0" xfId="0" applyNumberFormat="1" applyFont="1" applyAlignment="1">
      <alignment horizontal="center"/>
    </xf>
    <xf numFmtId="2" fontId="0" fillId="0" borderId="0" xfId="0" applyNumberFormat="1" applyFont="1"/>
    <xf numFmtId="2" fontId="0" fillId="0" borderId="0" xfId="0" applyNumberFormat="1" applyAlignment="1">
      <alignment wrapText="1"/>
    </xf>
    <xf numFmtId="2" fontId="3" fillId="0" borderId="17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left" vertical="center"/>
    </xf>
    <xf numFmtId="1" fontId="4" fillId="0" borderId="10" xfId="0" applyNumberFormat="1" applyFont="1" applyBorder="1" applyAlignment="1">
      <alignment vertical="center"/>
    </xf>
    <xf numFmtId="1" fontId="4" fillId="0" borderId="11" xfId="0" applyNumberFormat="1" applyFont="1" applyBorder="1" applyAlignment="1">
      <alignment vertical="center"/>
    </xf>
    <xf numFmtId="1" fontId="4" fillId="0" borderId="12" xfId="0" applyNumberFormat="1" applyFont="1" applyBorder="1" applyAlignment="1">
      <alignment vertical="center"/>
    </xf>
    <xf numFmtId="2" fontId="4" fillId="0" borderId="2" xfId="0" applyNumberFormat="1" applyFont="1" applyBorder="1" applyAlignment="1">
      <alignment vertical="center"/>
    </xf>
    <xf numFmtId="1" fontId="4" fillId="0" borderId="13" xfId="0" applyNumberFormat="1" applyFont="1" applyBorder="1" applyAlignment="1">
      <alignment vertical="center"/>
    </xf>
    <xf numFmtId="1" fontId="4" fillId="0" borderId="1" xfId="0" applyNumberFormat="1" applyFont="1" applyBorder="1" applyAlignment="1">
      <alignment vertical="center"/>
    </xf>
    <xf numFmtId="1" fontId="4" fillId="0" borderId="6" xfId="0" applyNumberFormat="1" applyFont="1" applyBorder="1" applyAlignment="1">
      <alignment vertical="center"/>
    </xf>
    <xf numFmtId="2" fontId="4" fillId="0" borderId="3" xfId="0" applyNumberFormat="1" applyFont="1" applyBorder="1" applyAlignment="1">
      <alignment vertical="center"/>
    </xf>
    <xf numFmtId="1" fontId="4" fillId="0" borderId="14" xfId="0" applyNumberFormat="1" applyFont="1" applyBorder="1" applyAlignment="1">
      <alignment vertical="center"/>
    </xf>
    <xf numFmtId="1" fontId="4" fillId="0" borderId="15" xfId="0" applyNumberFormat="1" applyFont="1" applyBorder="1" applyAlignment="1">
      <alignment vertical="center"/>
    </xf>
    <xf numFmtId="1" fontId="4" fillId="0" borderId="16" xfId="0" applyNumberFormat="1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2" fontId="3" fillId="0" borderId="1" xfId="0" applyNumberFormat="1" applyFont="1" applyBorder="1" applyAlignment="1">
      <alignment horizontal="center"/>
    </xf>
    <xf numFmtId="2" fontId="3" fillId="0" borderId="0" xfId="0" applyNumberFormat="1" applyFont="1"/>
    <xf numFmtId="2" fontId="6" fillId="0" borderId="0" xfId="0" applyNumberFormat="1" applyFont="1"/>
    <xf numFmtId="2" fontId="1" fillId="0" borderId="1" xfId="0" applyNumberFormat="1" applyFont="1" applyBorder="1" applyAlignment="1">
      <alignment horizontal="center"/>
    </xf>
    <xf numFmtId="2" fontId="4" fillId="0" borderId="1" xfId="0" applyNumberFormat="1" applyFont="1" applyBorder="1"/>
    <xf numFmtId="2" fontId="3" fillId="0" borderId="4" xfId="0" applyNumberFormat="1" applyFont="1" applyBorder="1" applyAlignment="1">
      <alignment vertical="center"/>
    </xf>
    <xf numFmtId="2" fontId="4" fillId="0" borderId="19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2" fontId="4" fillId="0" borderId="20" xfId="0" applyNumberFormat="1" applyFont="1" applyBorder="1" applyAlignment="1">
      <alignment vertical="center"/>
    </xf>
    <xf numFmtId="2" fontId="3" fillId="0" borderId="3" xfId="0" applyNumberFormat="1" applyFont="1" applyBorder="1" applyAlignment="1">
      <alignment vertical="center"/>
    </xf>
    <xf numFmtId="2" fontId="4" fillId="0" borderId="21" xfId="0" applyNumberFormat="1" applyFont="1" applyBorder="1" applyAlignment="1">
      <alignment vertical="center"/>
    </xf>
    <xf numFmtId="1" fontId="4" fillId="0" borderId="7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8208-76FE-43F8-B018-87EFB901F035}">
  <dimension ref="B2:N20"/>
  <sheetViews>
    <sheetView tabSelected="1" topLeftCell="E1" workbookViewId="0">
      <selection activeCell="O7" sqref="O7:O14"/>
    </sheetView>
  </sheetViews>
  <sheetFormatPr baseColWidth="10" defaultColWidth="11.44140625" defaultRowHeight="18" customHeight="1" x14ac:dyDescent="0.3"/>
  <cols>
    <col min="1" max="1" width="12" style="1" customWidth="1"/>
    <col min="2" max="10" width="15.77734375" style="1" customWidth="1"/>
    <col min="11" max="11" width="12.5546875" style="1" bestFit="1" customWidth="1"/>
    <col min="12" max="12" width="17.5546875" style="1" bestFit="1" customWidth="1"/>
    <col min="13" max="13" width="20.33203125" style="1" bestFit="1" customWidth="1"/>
    <col min="14" max="14" width="29.33203125" style="1" bestFit="1" customWidth="1"/>
    <col min="15" max="16384" width="11.44140625" style="1"/>
  </cols>
  <sheetData>
    <row r="2" spans="2:14" ht="18" customHeight="1" x14ac:dyDescent="0.3">
      <c r="G2" s="5"/>
      <c r="H2" s="5"/>
    </row>
    <row r="3" spans="2:14" ht="31.2" x14ac:dyDescent="0.6">
      <c r="B3" s="2" t="s">
        <v>17</v>
      </c>
      <c r="C3" s="2"/>
      <c r="D3" s="2"/>
      <c r="E3" s="2"/>
      <c r="F3" s="2"/>
    </row>
    <row r="5" spans="2:14" ht="18" customHeight="1" thickBot="1" x14ac:dyDescent="0.35">
      <c r="D5" s="4"/>
    </row>
    <row r="6" spans="2:14" s="3" customFormat="1" ht="18" customHeight="1" thickBot="1" x14ac:dyDescent="0.4">
      <c r="B6" s="6" t="s">
        <v>0</v>
      </c>
      <c r="C6" s="7" t="s">
        <v>1</v>
      </c>
      <c r="D6" s="8" t="s">
        <v>2</v>
      </c>
      <c r="E6" s="8" t="s">
        <v>4</v>
      </c>
      <c r="F6" s="8" t="s">
        <v>3</v>
      </c>
      <c r="G6" s="8" t="s">
        <v>5</v>
      </c>
      <c r="H6" s="9" t="s">
        <v>16</v>
      </c>
      <c r="I6" s="10" t="s">
        <v>6</v>
      </c>
      <c r="J6" s="6" t="s">
        <v>15</v>
      </c>
      <c r="K6" s="24" t="s">
        <v>18</v>
      </c>
      <c r="L6" s="24" t="s">
        <v>20</v>
      </c>
      <c r="M6" s="24" t="s">
        <v>19</v>
      </c>
      <c r="N6" s="27" t="s">
        <v>23</v>
      </c>
    </row>
    <row r="7" spans="2:14" ht="18" customHeight="1" x14ac:dyDescent="0.35">
      <c r="B7" s="11" t="s">
        <v>7</v>
      </c>
      <c r="C7" s="12">
        <v>22</v>
      </c>
      <c r="D7" s="13">
        <v>11</v>
      </c>
      <c r="E7" s="13">
        <v>15</v>
      </c>
      <c r="F7" s="13">
        <v>9</v>
      </c>
      <c r="G7" s="13">
        <v>9</v>
      </c>
      <c r="H7" s="14">
        <v>3</v>
      </c>
      <c r="I7" s="29">
        <f>SUM(C7:H7)</f>
        <v>69</v>
      </c>
      <c r="J7" s="30">
        <f>AVERAGE(C7:H7)</f>
        <v>11.5</v>
      </c>
      <c r="K7" s="28">
        <f t="shared" ref="K7:K14" si="0">ROUND(J7,2)</f>
        <v>11.5</v>
      </c>
      <c r="L7" s="28">
        <f t="shared" ref="L7:L14" si="1">ROUNDUP(J7,2)</f>
        <v>11.5</v>
      </c>
      <c r="M7" s="28">
        <f t="shared" ref="M7:M14" si="2">ROUNDDOWN(J7,2)</f>
        <v>11.5</v>
      </c>
      <c r="N7" s="28">
        <f>ROUND(AVERAGE(C7:H7),2)</f>
        <v>11.5</v>
      </c>
    </row>
    <row r="8" spans="2:14" ht="18" customHeight="1" x14ac:dyDescent="0.35">
      <c r="B8" s="15" t="s">
        <v>8</v>
      </c>
      <c r="C8" s="16">
        <v>26</v>
      </c>
      <c r="D8" s="17">
        <v>24</v>
      </c>
      <c r="E8" s="17">
        <v>19</v>
      </c>
      <c r="F8" s="17">
        <v>11</v>
      </c>
      <c r="G8" s="17">
        <v>17</v>
      </c>
      <c r="H8" s="18">
        <v>56</v>
      </c>
      <c r="I8" s="31">
        <f t="shared" ref="I8:I14" si="3">SUM(C8:H8)</f>
        <v>153</v>
      </c>
      <c r="J8" s="32">
        <f t="shared" ref="J8:J14" si="4">AVERAGE(C8:H8)</f>
        <v>25.5</v>
      </c>
      <c r="K8" s="28">
        <f t="shared" si="0"/>
        <v>25.5</v>
      </c>
      <c r="L8" s="28">
        <f t="shared" si="1"/>
        <v>25.5</v>
      </c>
      <c r="M8" s="28">
        <f t="shared" si="2"/>
        <v>25.5</v>
      </c>
      <c r="N8" s="28">
        <f t="shared" ref="N8:N14" si="5">ROUND(AVERAGE(C8:H8),2)</f>
        <v>25.5</v>
      </c>
    </row>
    <row r="9" spans="2:14" ht="18" customHeight="1" x14ac:dyDescent="0.35">
      <c r="B9" s="15" t="s">
        <v>13</v>
      </c>
      <c r="C9" s="16">
        <v>1</v>
      </c>
      <c r="D9" s="17">
        <v>2</v>
      </c>
      <c r="E9" s="17">
        <v>3</v>
      </c>
      <c r="F9" s="17">
        <v>4</v>
      </c>
      <c r="G9" s="17">
        <v>5</v>
      </c>
      <c r="H9" s="18">
        <v>6</v>
      </c>
      <c r="I9" s="31">
        <f t="shared" si="3"/>
        <v>21</v>
      </c>
      <c r="J9" s="32">
        <f t="shared" si="4"/>
        <v>3.5</v>
      </c>
      <c r="K9" s="28">
        <f t="shared" si="0"/>
        <v>3.5</v>
      </c>
      <c r="L9" s="28">
        <f t="shared" si="1"/>
        <v>3.5</v>
      </c>
      <c r="M9" s="28">
        <f t="shared" si="2"/>
        <v>3.5</v>
      </c>
      <c r="N9" s="28">
        <f t="shared" si="5"/>
        <v>3.5</v>
      </c>
    </row>
    <row r="10" spans="2:14" ht="18" customHeight="1" x14ac:dyDescent="0.35">
      <c r="B10" s="15" t="s">
        <v>14</v>
      </c>
      <c r="C10" s="16">
        <v>8</v>
      </c>
      <c r="D10" s="17">
        <v>10</v>
      </c>
      <c r="E10" s="17">
        <v>6</v>
      </c>
      <c r="F10" s="17">
        <v>7</v>
      </c>
      <c r="G10" s="17">
        <v>8</v>
      </c>
      <c r="H10" s="18">
        <v>9</v>
      </c>
      <c r="I10" s="31">
        <f t="shared" si="3"/>
        <v>48</v>
      </c>
      <c r="J10" s="32">
        <f t="shared" si="4"/>
        <v>8</v>
      </c>
      <c r="K10" s="28">
        <f t="shared" si="0"/>
        <v>8</v>
      </c>
      <c r="L10" s="28">
        <f t="shared" si="1"/>
        <v>8</v>
      </c>
      <c r="M10" s="28">
        <f t="shared" si="2"/>
        <v>8</v>
      </c>
      <c r="N10" s="28">
        <f t="shared" si="5"/>
        <v>8</v>
      </c>
    </row>
    <row r="11" spans="2:14" ht="18" customHeight="1" x14ac:dyDescent="0.35">
      <c r="B11" s="15" t="s">
        <v>9</v>
      </c>
      <c r="C11" s="16">
        <v>25</v>
      </c>
      <c r="D11" s="17">
        <v>31</v>
      </c>
      <c r="E11" s="17">
        <v>22</v>
      </c>
      <c r="F11" s="17">
        <v>20</v>
      </c>
      <c r="G11" s="17">
        <v>21</v>
      </c>
      <c r="H11" s="18">
        <v>4</v>
      </c>
      <c r="I11" s="31">
        <f t="shared" si="3"/>
        <v>123</v>
      </c>
      <c r="J11" s="32">
        <f t="shared" si="4"/>
        <v>20.5</v>
      </c>
      <c r="K11" s="28">
        <f t="shared" si="0"/>
        <v>20.5</v>
      </c>
      <c r="L11" s="28">
        <f t="shared" si="1"/>
        <v>20.5</v>
      </c>
      <c r="M11" s="28">
        <f t="shared" si="2"/>
        <v>20.5</v>
      </c>
      <c r="N11" s="28">
        <f t="shared" si="5"/>
        <v>20.5</v>
      </c>
    </row>
    <row r="12" spans="2:14" ht="18" customHeight="1" x14ac:dyDescent="0.35">
      <c r="B12" s="15" t="s">
        <v>10</v>
      </c>
      <c r="C12" s="16">
        <v>14</v>
      </c>
      <c r="D12" s="17">
        <v>11</v>
      </c>
      <c r="E12" s="17">
        <v>23</v>
      </c>
      <c r="F12" s="17">
        <v>23</v>
      </c>
      <c r="G12" s="17">
        <v>20</v>
      </c>
      <c r="H12" s="18">
        <v>12</v>
      </c>
      <c r="I12" s="31">
        <f t="shared" si="3"/>
        <v>103</v>
      </c>
      <c r="J12" s="32">
        <f t="shared" si="4"/>
        <v>17.166666666666668</v>
      </c>
      <c r="K12" s="28">
        <f t="shared" si="0"/>
        <v>17.170000000000002</v>
      </c>
      <c r="L12" s="28">
        <f t="shared" si="1"/>
        <v>17.170000000000002</v>
      </c>
      <c r="M12" s="28">
        <f t="shared" si="2"/>
        <v>17.16</v>
      </c>
      <c r="N12" s="28">
        <f t="shared" si="5"/>
        <v>17.170000000000002</v>
      </c>
    </row>
    <row r="13" spans="2:14" ht="18" customHeight="1" x14ac:dyDescent="0.35">
      <c r="B13" s="15" t="s">
        <v>11</v>
      </c>
      <c r="C13" s="16">
        <v>7</v>
      </c>
      <c r="D13" s="17">
        <v>8</v>
      </c>
      <c r="E13" s="17">
        <v>11</v>
      </c>
      <c r="F13" s="17">
        <v>7</v>
      </c>
      <c r="G13" s="17">
        <v>5</v>
      </c>
      <c r="H13" s="18">
        <v>67</v>
      </c>
      <c r="I13" s="31">
        <f t="shared" si="3"/>
        <v>105</v>
      </c>
      <c r="J13" s="32">
        <f t="shared" si="4"/>
        <v>17.5</v>
      </c>
      <c r="K13" s="28">
        <f t="shared" si="0"/>
        <v>17.5</v>
      </c>
      <c r="L13" s="28">
        <f t="shared" si="1"/>
        <v>17.5</v>
      </c>
      <c r="M13" s="28">
        <f t="shared" si="2"/>
        <v>17.5</v>
      </c>
      <c r="N13" s="28">
        <f t="shared" si="5"/>
        <v>17.5</v>
      </c>
    </row>
    <row r="14" spans="2:14" ht="18" customHeight="1" thickBot="1" x14ac:dyDescent="0.4">
      <c r="B14" s="19" t="s">
        <v>12</v>
      </c>
      <c r="C14" s="20">
        <v>11</v>
      </c>
      <c r="D14" s="21">
        <v>18</v>
      </c>
      <c r="E14" s="21">
        <v>19</v>
      </c>
      <c r="F14" s="21">
        <v>10</v>
      </c>
      <c r="G14" s="21">
        <v>7</v>
      </c>
      <c r="H14" s="22">
        <v>89</v>
      </c>
      <c r="I14" s="33">
        <f t="shared" si="3"/>
        <v>154</v>
      </c>
      <c r="J14" s="34">
        <f t="shared" si="4"/>
        <v>25.666666666666668</v>
      </c>
      <c r="K14" s="28">
        <f t="shared" si="0"/>
        <v>25.67</v>
      </c>
      <c r="L14" s="28">
        <f t="shared" si="1"/>
        <v>25.67</v>
      </c>
      <c r="M14" s="28">
        <f t="shared" si="2"/>
        <v>25.66</v>
      </c>
      <c r="N14" s="28">
        <f t="shared" si="5"/>
        <v>25.67</v>
      </c>
    </row>
    <row r="15" spans="2:14" ht="18" customHeight="1" x14ac:dyDescent="0.3">
      <c r="B15" s="23"/>
      <c r="C15" s="35">
        <f>SUM(C7:C14)</f>
        <v>114</v>
      </c>
      <c r="D15" s="35">
        <f t="shared" ref="D15:G15" si="6">SUM(D7:D14)</f>
        <v>115</v>
      </c>
      <c r="E15" s="35">
        <f t="shared" si="6"/>
        <v>118</v>
      </c>
      <c r="F15" s="35">
        <f t="shared" si="6"/>
        <v>91</v>
      </c>
      <c r="G15" s="35">
        <f t="shared" si="6"/>
        <v>92</v>
      </c>
      <c r="H15" s="35">
        <f>SUM(H7:H14)</f>
        <v>246</v>
      </c>
      <c r="I15" s="23"/>
      <c r="J15" s="23"/>
    </row>
    <row r="17" spans="7:13" ht="18" customHeight="1" x14ac:dyDescent="0.35">
      <c r="G17" s="25" t="s">
        <v>21</v>
      </c>
      <c r="H17" s="25"/>
      <c r="I17" s="25"/>
      <c r="J17" s="25"/>
      <c r="K17" s="25"/>
      <c r="L17" s="25"/>
      <c r="M17" s="4"/>
    </row>
    <row r="18" spans="7:13" ht="18" customHeight="1" x14ac:dyDescent="0.35">
      <c r="G18" s="25" t="s">
        <v>22</v>
      </c>
      <c r="H18" s="25"/>
      <c r="I18" s="25"/>
      <c r="J18" s="25"/>
      <c r="K18" s="25"/>
      <c r="L18" s="25"/>
      <c r="M18" s="4"/>
    </row>
    <row r="19" spans="7:13" ht="18" customHeight="1" x14ac:dyDescent="0.3">
      <c r="G19" s="4"/>
      <c r="H19" s="4"/>
      <c r="I19" s="4"/>
      <c r="J19" s="4"/>
      <c r="K19" s="4"/>
      <c r="L19" s="4"/>
      <c r="M19" s="4"/>
    </row>
    <row r="20" spans="7:13" ht="18" customHeight="1" x14ac:dyDescent="0.3">
      <c r="I20" s="26"/>
    </row>
  </sheetData>
  <sortState xmlns:xlrd2="http://schemas.microsoft.com/office/spreadsheetml/2017/richdata2" ref="B7:K14">
    <sortCondition descending="1" ref="I7:I14"/>
    <sortCondition ref="B7:B14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Gustavo Palacios</cp:lastModifiedBy>
  <cp:lastPrinted>2019-02-22T21:02:55Z</cp:lastPrinted>
  <dcterms:created xsi:type="dcterms:W3CDTF">2019-02-11T15:34:43Z</dcterms:created>
  <dcterms:modified xsi:type="dcterms:W3CDTF">2026-02-02T14:24:57Z</dcterms:modified>
</cp:coreProperties>
</file>