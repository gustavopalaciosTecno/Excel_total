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7\"/>
    </mc:Choice>
  </mc:AlternateContent>
  <xr:revisionPtr revIDLastSave="0" documentId="13_ncr:1_{B68874F8-66FA-419C-9E65-3A683631EB68}" xr6:coauthVersionLast="47" xr6:coauthVersionMax="47" xr10:uidLastSave="{00000000-0000-0000-0000-000000000000}"/>
  <bookViews>
    <workbookView xWindow="-108" yWindow="-108" windowWidth="23256" windowHeight="13896" activeTab="2" xr2:uid="{BAEA8B5F-156D-4206-8ACF-F0D9A61C7DC6}"/>
  </bookViews>
  <sheets>
    <sheet name="Formato" sheetId="2" r:id="rId1"/>
    <sheet name="Formato Condicional" sheetId="1" r:id="rId2"/>
    <sheet name="Hoja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2" l="1"/>
  <c r="D6" i="2"/>
  <c r="D7" i="2"/>
  <c r="D8" i="2"/>
  <c r="D9" i="2"/>
  <c r="D10" i="2"/>
  <c r="D11" i="2"/>
  <c r="D12" i="2"/>
  <c r="D4" i="2"/>
  <c r="E5" i="1"/>
  <c r="E6" i="1"/>
  <c r="E7" i="1"/>
  <c r="E8" i="1"/>
  <c r="E9" i="1"/>
  <c r="E10" i="1"/>
  <c r="E11" i="1"/>
  <c r="E12" i="1"/>
  <c r="E13" i="1"/>
  <c r="E12" i="2" l="1"/>
  <c r="F12" i="2" s="1"/>
  <c r="E10" i="2"/>
  <c r="F10" i="2" s="1"/>
  <c r="E9" i="2"/>
  <c r="F9" i="2" s="1"/>
  <c r="E11" i="2"/>
  <c r="F11" i="2" s="1"/>
  <c r="E8" i="2"/>
  <c r="F8" i="2" s="1"/>
  <c r="E7" i="2"/>
  <c r="F7" i="2" s="1"/>
  <c r="E6" i="2"/>
  <c r="F6" i="2" s="1"/>
  <c r="E5" i="2"/>
  <c r="F5" i="2" s="1"/>
  <c r="E4" i="2"/>
  <c r="F4" i="2" s="1"/>
  <c r="F13" i="2" l="1"/>
</calcChain>
</file>

<file path=xl/sharedStrings.xml><?xml version="1.0" encoding="utf-8"?>
<sst xmlns="http://schemas.openxmlformats.org/spreadsheetml/2006/main" count="60" uniqueCount="49">
  <si>
    <t>Temperaturas Diarias</t>
  </si>
  <si>
    <t>Ciudad</t>
  </si>
  <si>
    <t>Mínima</t>
  </si>
  <si>
    <t>Máxima</t>
  </si>
  <si>
    <t>Paris</t>
  </si>
  <si>
    <t>México DF</t>
  </si>
  <si>
    <t>Buenos Aires</t>
  </si>
  <si>
    <t>Madrid</t>
  </si>
  <si>
    <t>Bogotá</t>
  </si>
  <si>
    <t>Lima</t>
  </si>
  <si>
    <t>Santiago de Chile</t>
  </si>
  <si>
    <t>Montevideo</t>
  </si>
  <si>
    <t>La Paz</t>
  </si>
  <si>
    <t>FORMATO CONDICIONAL</t>
  </si>
  <si>
    <t xml:space="preserve"> </t>
  </si>
  <si>
    <t>Diferencia</t>
  </si>
  <si>
    <t>Sucursal</t>
  </si>
  <si>
    <t>Ventas Netas</t>
  </si>
  <si>
    <t>Comisiones</t>
  </si>
  <si>
    <t>Costos</t>
  </si>
  <si>
    <t>Ganancias</t>
  </si>
  <si>
    <t>Suc. 1</t>
  </si>
  <si>
    <t>Suc. 2</t>
  </si>
  <si>
    <t>Suc. 3</t>
  </si>
  <si>
    <t>Suc. 4</t>
  </si>
  <si>
    <t>Suc. 5</t>
  </si>
  <si>
    <t>Suc. 6</t>
  </si>
  <si>
    <t>Suc. 7</t>
  </si>
  <si>
    <t>Suc. 8</t>
  </si>
  <si>
    <t>Suc. 9</t>
  </si>
  <si>
    <t>ROJO</t>
  </si>
  <si>
    <t>NÚMEROS</t>
  </si>
  <si>
    <t>TEXTO</t>
  </si>
  <si>
    <t>FECHA</t>
  </si>
  <si>
    <t>VALORES REPETIDOS</t>
  </si>
  <si>
    <t>Jaimito</t>
  </si>
  <si>
    <t>Clodormiro</t>
  </si>
  <si>
    <t>Carina</t>
  </si>
  <si>
    <t>Leticia</t>
  </si>
  <si>
    <t>Eshter</t>
  </si>
  <si>
    <t>Manuela</t>
  </si>
  <si>
    <t>Lidia</t>
  </si>
  <si>
    <t>Mirta</t>
  </si>
  <si>
    <t>Cacho</t>
  </si>
  <si>
    <t>Alberto</t>
  </si>
  <si>
    <t>Paco</t>
  </si>
  <si>
    <t>Patricia</t>
  </si>
  <si>
    <t>Laura</t>
  </si>
  <si>
    <t>VALORES NO REPETIDOS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</si>
</sst>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65"/>
      <color theme="9" tint="-0.249977111117893"/>
      <name val="Calibri"/>
      <family val="2"/>
      <scheme val="minor"/>
    </font>
    <font>
      <sz val="16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6" fillId="2" borderId="0" xfId="0" applyFont="1" applyFill="1"/>
    <xf numFmtId="0" fontId="6" fillId="0" borderId="0" xfId="0" applyFont="1" applyFill="1"/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/>
    <xf numFmtId="164" fontId="6" fillId="0" borderId="1" xfId="1" applyFont="1" applyBorder="1"/>
    <xf numFmtId="0" fontId="6" fillId="0" borderId="0" xfId="0" applyFont="1"/>
    <xf numFmtId="164" fontId="6" fillId="0" borderId="0" xfId="0" applyNumberFormat="1" applyFont="1"/>
    <xf numFmtId="14" fontId="5" fillId="0" borderId="1" xfId="0" applyNumberFormat="1" applyFont="1" applyBorder="1"/>
    <xf numFmtId="0" fontId="7" fillId="5" borderId="1" xfId="0" applyFont="1" applyFill="1" applyBorder="1"/>
  </cellXfs>
  <cellStyles count="2">
    <cellStyle name="Moneda" xfId="1" builtinId="4"/>
    <cellStyle name="Normal" xfId="0" builtinId="0"/>
  </cellStyles>
  <dxfs count="30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</dxf>
    <dxf>
      <font>
        <color rgb="FFFF0000"/>
      </font>
    </dxf>
    <dxf>
      <font>
        <color theme="4"/>
      </font>
    </dxf>
    <dxf>
      <font>
        <color theme="4"/>
      </font>
    </dxf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theme="4"/>
      </font>
    </dxf>
    <dxf>
      <font>
        <color theme="0"/>
      </font>
      <fill>
        <patternFill>
          <bgColor rgb="FF0070C0"/>
        </patternFill>
      </fill>
    </dxf>
    <dxf>
      <font>
        <color theme="9" tint="-0.24994659260841701"/>
      </font>
    </dxf>
    <dxf>
      <font>
        <color rgb="FFFF0000"/>
      </font>
    </dxf>
    <dxf>
      <font>
        <color theme="4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7575"/>
      <color rgb="FFFF3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139D5A-14F8-47DD-B911-63127D981B7C}" name="Tabla1" displayName="Tabla1" ref="B4:E13" totalsRowShown="0" headerRowDxfId="23" dataDxfId="22">
  <autoFilter ref="B4:E13" xr:uid="{74139D5A-14F8-47DD-B911-63127D981B7C}"/>
  <tableColumns count="4">
    <tableColumn id="1" xr3:uid="{3FA7B6D2-CB16-4A9B-AEE9-F7FFB863B93A}" name="Ciudad" dataDxfId="27"/>
    <tableColumn id="2" xr3:uid="{F3515168-91B2-4B8D-AAC4-F65BC58B5340}" name="Mínima" dataDxfId="26"/>
    <tableColumn id="3" xr3:uid="{13E010E5-9B63-4345-B308-28F74F64C23D}" name="Máxima" dataDxfId="25"/>
    <tableColumn id="4" xr3:uid="{3E739F50-DB5E-42CD-A2F2-6E809DC4676F}" name="Diferencia" dataDxfId="24">
      <calculatedColumnFormula>Tabla1[[#This Row],[Máxima]]-Tabla1[[#This Row],[Mínima]]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39E36-68F5-4D7A-8559-AD5E1A79F921}">
  <dimension ref="B3:F13"/>
  <sheetViews>
    <sheetView workbookViewId="0">
      <selection activeCell="B1" sqref="B1:F1048576"/>
    </sheetView>
  </sheetViews>
  <sheetFormatPr baseColWidth="10" defaultRowHeight="18" x14ac:dyDescent="0.35"/>
  <cols>
    <col min="2" max="6" width="18.77734375" style="12" customWidth="1"/>
  </cols>
  <sheetData>
    <row r="3" spans="2:6" x14ac:dyDescent="0.3">
      <c r="B3" s="9" t="s">
        <v>16</v>
      </c>
      <c r="C3" s="9" t="s">
        <v>17</v>
      </c>
      <c r="D3" s="9" t="s">
        <v>18</v>
      </c>
      <c r="E3" s="9" t="s">
        <v>19</v>
      </c>
      <c r="F3" s="9" t="s">
        <v>20</v>
      </c>
    </row>
    <row r="4" spans="2:6" x14ac:dyDescent="0.35">
      <c r="B4" s="10" t="s">
        <v>21</v>
      </c>
      <c r="C4" s="11">
        <v>40541</v>
      </c>
      <c r="D4" s="11">
        <f>C4*11/100</f>
        <v>4459.51</v>
      </c>
      <c r="E4" s="11">
        <f>C4*53/100</f>
        <v>21486.73</v>
      </c>
      <c r="F4" s="11">
        <f>C4-D4-E4</f>
        <v>14594.759999999998</v>
      </c>
    </row>
    <row r="5" spans="2:6" x14ac:dyDescent="0.35">
      <c r="B5" s="10" t="s">
        <v>22</v>
      </c>
      <c r="C5" s="11">
        <v>44412</v>
      </c>
      <c r="D5" s="11">
        <f t="shared" ref="D5:D12" si="0">C5*11/100</f>
        <v>4885.32</v>
      </c>
      <c r="E5" s="11">
        <f t="shared" ref="E5:E12" si="1">C5*53/100</f>
        <v>23538.36</v>
      </c>
      <c r="F5" s="11">
        <f t="shared" ref="F5:F12" si="2">C5-D5-E5</f>
        <v>15988.32</v>
      </c>
    </row>
    <row r="6" spans="2:6" x14ac:dyDescent="0.35">
      <c r="B6" s="10" t="s">
        <v>23</v>
      </c>
      <c r="C6" s="11">
        <v>28348</v>
      </c>
      <c r="D6" s="11">
        <f t="shared" si="0"/>
        <v>3118.28</v>
      </c>
      <c r="E6" s="11">
        <f t="shared" si="1"/>
        <v>15024.44</v>
      </c>
      <c r="F6" s="11">
        <f t="shared" si="2"/>
        <v>10205.280000000001</v>
      </c>
    </row>
    <row r="7" spans="2:6" x14ac:dyDescent="0.35">
      <c r="B7" s="10" t="s">
        <v>24</v>
      </c>
      <c r="C7" s="11">
        <v>33219</v>
      </c>
      <c r="D7" s="11">
        <f t="shared" si="0"/>
        <v>3654.09</v>
      </c>
      <c r="E7" s="11">
        <f t="shared" si="1"/>
        <v>17606.07</v>
      </c>
      <c r="F7" s="11">
        <f t="shared" si="2"/>
        <v>11958.84</v>
      </c>
    </row>
    <row r="8" spans="2:6" x14ac:dyDescent="0.35">
      <c r="B8" s="10" t="s">
        <v>25</v>
      </c>
      <c r="C8" s="11">
        <v>29636</v>
      </c>
      <c r="D8" s="11">
        <f t="shared" si="0"/>
        <v>3259.96</v>
      </c>
      <c r="E8" s="11">
        <f t="shared" si="1"/>
        <v>15707.08</v>
      </c>
      <c r="F8" s="11">
        <f t="shared" si="2"/>
        <v>10668.960000000001</v>
      </c>
    </row>
    <row r="9" spans="2:6" x14ac:dyDescent="0.35">
      <c r="B9" s="10" t="s">
        <v>26</v>
      </c>
      <c r="C9" s="11">
        <v>37653</v>
      </c>
      <c r="D9" s="11">
        <f t="shared" si="0"/>
        <v>4141.83</v>
      </c>
      <c r="E9" s="11">
        <f t="shared" si="1"/>
        <v>19956.09</v>
      </c>
      <c r="F9" s="11">
        <f t="shared" si="2"/>
        <v>13555.079999999998</v>
      </c>
    </row>
    <row r="10" spans="2:6" x14ac:dyDescent="0.35">
      <c r="B10" s="10" t="s">
        <v>27</v>
      </c>
      <c r="C10" s="11">
        <v>32056</v>
      </c>
      <c r="D10" s="11">
        <f t="shared" si="0"/>
        <v>3526.16</v>
      </c>
      <c r="E10" s="11">
        <f t="shared" si="1"/>
        <v>16989.68</v>
      </c>
      <c r="F10" s="11">
        <f t="shared" si="2"/>
        <v>11540.16</v>
      </c>
    </row>
    <row r="11" spans="2:6" x14ac:dyDescent="0.35">
      <c r="B11" s="10" t="s">
        <v>28</v>
      </c>
      <c r="C11" s="11">
        <v>31644</v>
      </c>
      <c r="D11" s="11">
        <f t="shared" si="0"/>
        <v>3480.84</v>
      </c>
      <c r="E11" s="11">
        <f t="shared" si="1"/>
        <v>16771.32</v>
      </c>
      <c r="F11" s="11">
        <f t="shared" si="2"/>
        <v>11391.84</v>
      </c>
    </row>
    <row r="12" spans="2:6" x14ac:dyDescent="0.35">
      <c r="B12" s="10" t="s">
        <v>29</v>
      </c>
      <c r="C12" s="11">
        <v>500000</v>
      </c>
      <c r="D12" s="11">
        <f t="shared" si="0"/>
        <v>55000</v>
      </c>
      <c r="E12" s="11">
        <f t="shared" si="1"/>
        <v>265000</v>
      </c>
      <c r="F12" s="11">
        <f t="shared" si="2"/>
        <v>180000</v>
      </c>
    </row>
    <row r="13" spans="2:6" x14ac:dyDescent="0.35">
      <c r="F13" s="13">
        <f>SUM(F4:F12)</f>
        <v>279903.24</v>
      </c>
    </row>
  </sheetData>
  <phoneticPr fontId="4" type="noConversion"/>
  <conditionalFormatting sqref="F13">
    <cfRule type="cellIs" dxfId="29" priority="2" operator="greaterThan">
      <formula>150000</formula>
    </cfRule>
    <cfRule type="cellIs" dxfId="28" priority="1" operator="lessThan">
      <formula>100000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E44F-9724-4FD6-98FA-043E293A2F6C}">
  <dimension ref="B3:S14"/>
  <sheetViews>
    <sheetView topLeftCell="D1" workbookViewId="0">
      <selection activeCell="G15" sqref="G15"/>
    </sheetView>
  </sheetViews>
  <sheetFormatPr baseColWidth="10" defaultColWidth="11.44140625" defaultRowHeight="18" x14ac:dyDescent="0.35"/>
  <cols>
    <col min="1" max="1" width="6.88671875" style="1" customWidth="1"/>
    <col min="2" max="5" width="18.77734375" style="7" customWidth="1"/>
    <col min="6" max="6" width="21.6640625" style="1" customWidth="1"/>
    <col min="7" max="7" width="131.77734375" style="1" customWidth="1"/>
    <col min="8" max="18" width="21.6640625" style="1" customWidth="1"/>
    <col min="19" max="16384" width="11.44140625" style="1"/>
  </cols>
  <sheetData>
    <row r="3" spans="2:19" x14ac:dyDescent="0.35">
      <c r="B3" s="6" t="s">
        <v>0</v>
      </c>
      <c r="C3" s="6"/>
      <c r="D3" s="6"/>
    </row>
    <row r="4" spans="2:19" ht="15" customHeight="1" x14ac:dyDescent="0.35">
      <c r="B4" s="8" t="s">
        <v>1</v>
      </c>
      <c r="C4" s="8" t="s">
        <v>2</v>
      </c>
      <c r="D4" s="8" t="s">
        <v>3</v>
      </c>
      <c r="E4" s="8" t="s">
        <v>15</v>
      </c>
      <c r="G4" s="5" t="s">
        <v>13</v>
      </c>
      <c r="H4" s="2" t="s">
        <v>14</v>
      </c>
      <c r="I4" s="2"/>
      <c r="J4" s="2"/>
      <c r="K4" s="2"/>
      <c r="L4" s="2"/>
      <c r="M4" s="2"/>
      <c r="N4" s="2"/>
      <c r="O4" s="2"/>
      <c r="P4" s="2"/>
      <c r="Q4" s="2"/>
      <c r="R4" s="2"/>
      <c r="S4" s="4" t="s">
        <v>14</v>
      </c>
    </row>
    <row r="5" spans="2:19" ht="15" customHeight="1" x14ac:dyDescent="0.35">
      <c r="B5" s="8" t="s">
        <v>4</v>
      </c>
      <c r="C5" s="8">
        <v>-5</v>
      </c>
      <c r="D5" s="8">
        <v>11</v>
      </c>
      <c r="E5" s="8">
        <f>Tabla1[[#This Row],[Máxima]]-Tabla1[[#This Row],[Mínima]]</f>
        <v>16</v>
      </c>
      <c r="G5" s="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4"/>
    </row>
    <row r="6" spans="2:19" ht="15" customHeight="1" x14ac:dyDescent="0.35">
      <c r="B6" s="8" t="s">
        <v>5</v>
      </c>
      <c r="C6" s="8">
        <v>11</v>
      </c>
      <c r="D6" s="8">
        <v>23</v>
      </c>
      <c r="E6" s="8">
        <f>Tabla1[[#This Row],[Máxima]]-Tabla1[[#This Row],[Mínima]]</f>
        <v>12</v>
      </c>
      <c r="G6" s="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4"/>
    </row>
    <row r="7" spans="2:19" ht="15" customHeight="1" x14ac:dyDescent="0.35">
      <c r="B7" s="8" t="s">
        <v>6</v>
      </c>
      <c r="C7" s="8">
        <v>7</v>
      </c>
      <c r="D7" s="8">
        <v>19</v>
      </c>
      <c r="E7" s="8">
        <f>Tabla1[[#This Row],[Máxima]]-Tabla1[[#This Row],[Mínima]]</f>
        <v>12</v>
      </c>
      <c r="G7" s="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4"/>
    </row>
    <row r="8" spans="2:19" ht="15" customHeight="1" x14ac:dyDescent="0.35">
      <c r="B8" s="8" t="s">
        <v>7</v>
      </c>
      <c r="C8" s="8">
        <v>-1</v>
      </c>
      <c r="D8" s="8">
        <v>12</v>
      </c>
      <c r="E8" s="8">
        <f>Tabla1[[#This Row],[Máxima]]-Tabla1[[#This Row],[Mínima]]</f>
        <v>13</v>
      </c>
      <c r="G8" s="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4"/>
    </row>
    <row r="9" spans="2:19" ht="15" customHeight="1" x14ac:dyDescent="0.35">
      <c r="B9" s="8" t="s">
        <v>8</v>
      </c>
      <c r="C9" s="8">
        <v>12</v>
      </c>
      <c r="D9" s="8">
        <v>32</v>
      </c>
      <c r="E9" s="8">
        <f>Tabla1[[#This Row],[Máxima]]-Tabla1[[#This Row],[Mínima]]</f>
        <v>20</v>
      </c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4"/>
    </row>
    <row r="10" spans="2:19" ht="15" customHeight="1" x14ac:dyDescent="0.35">
      <c r="B10" s="8" t="s">
        <v>9</v>
      </c>
      <c r="C10" s="8">
        <v>-15</v>
      </c>
      <c r="D10" s="8">
        <v>10</v>
      </c>
      <c r="E10" s="8">
        <f>Tabla1[[#This Row],[Máxima]]-Tabla1[[#This Row],[Mínima]]</f>
        <v>25</v>
      </c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4"/>
    </row>
    <row r="11" spans="2:19" ht="15" customHeight="1" x14ac:dyDescent="0.35">
      <c r="B11" s="8" t="s">
        <v>10</v>
      </c>
      <c r="C11" s="8">
        <v>9</v>
      </c>
      <c r="D11" s="8">
        <v>18</v>
      </c>
      <c r="E11" s="8">
        <f>Tabla1[[#This Row],[Máxima]]-Tabla1[[#This Row],[Mínima]]</f>
        <v>9</v>
      </c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4"/>
    </row>
    <row r="12" spans="2:19" ht="15" customHeight="1" x14ac:dyDescent="0.35">
      <c r="B12" s="8" t="s">
        <v>11</v>
      </c>
      <c r="C12" s="8">
        <v>8</v>
      </c>
      <c r="D12" s="8">
        <v>20</v>
      </c>
      <c r="E12" s="8">
        <f>Tabla1[[#This Row],[Máxima]]-Tabla1[[#This Row],[Mínima]]</f>
        <v>12</v>
      </c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4"/>
    </row>
    <row r="13" spans="2:19" ht="15" customHeight="1" x14ac:dyDescent="0.35">
      <c r="B13" s="8" t="s">
        <v>12</v>
      </c>
      <c r="C13" s="8">
        <v>8</v>
      </c>
      <c r="D13" s="8">
        <v>25</v>
      </c>
      <c r="E13" s="8">
        <f>Tabla1[[#This Row],[Máxima]]-Tabla1[[#This Row],[Mínima]]</f>
        <v>17</v>
      </c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4"/>
    </row>
    <row r="14" spans="2:19" ht="42" customHeight="1" x14ac:dyDescent="0.35">
      <c r="F14" s="1" t="s">
        <v>14</v>
      </c>
      <c r="G14" s="3" t="s">
        <v>30</v>
      </c>
      <c r="H14" s="1" t="s">
        <v>14</v>
      </c>
    </row>
  </sheetData>
  <mergeCells count="3">
    <mergeCell ref="B3:D3"/>
    <mergeCell ref="S4:S13"/>
    <mergeCell ref="G4:G13"/>
  </mergeCells>
  <conditionalFormatting sqref="C5:C13">
    <cfRule type="colorScale" priority="6">
      <colorScale>
        <cfvo type="min"/>
        <cfvo type="max"/>
        <color theme="4" tint="0.39997558519241921"/>
        <color theme="0"/>
      </colorScale>
    </cfRule>
  </conditionalFormatting>
  <conditionalFormatting sqref="G4:G13">
    <cfRule type="expression" dxfId="12" priority="2">
      <formula>$G$14="AZUL"</formula>
    </cfRule>
    <cfRule type="expression" dxfId="14" priority="3">
      <formula>$G$14="ROJO"</formula>
    </cfRule>
    <cfRule type="expression" dxfId="13" priority="4">
      <formula>$G$14="VERDE"</formula>
    </cfRule>
  </conditionalFormatting>
  <conditionalFormatting sqref="D5:D13">
    <cfRule type="colorScale" priority="7">
      <colorScale>
        <cfvo type="min"/>
        <cfvo type="max"/>
        <color rgb="FFFFFF00"/>
        <color rgb="FFFF7575"/>
      </colorScale>
    </cfRule>
  </conditionalFormatting>
  <conditionalFormatting sqref="E5:E13">
    <cfRule type="iconSet" priority="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572C3-6160-41E0-9F93-F3F7362FBB12}">
  <dimension ref="D2:L10"/>
  <sheetViews>
    <sheetView tabSelected="1" workbookViewId="0">
      <selection activeCell="L3" sqref="L3"/>
    </sheetView>
  </sheetViews>
  <sheetFormatPr baseColWidth="10" defaultRowHeight="14.4" x14ac:dyDescent="0.3"/>
  <cols>
    <col min="6" max="6" width="12.88671875" bestFit="1" customWidth="1"/>
    <col min="8" max="8" width="13.88671875" bestFit="1" customWidth="1"/>
    <col min="10" max="10" width="23.44140625" bestFit="1" customWidth="1"/>
    <col min="12" max="12" width="27.5546875" bestFit="1" customWidth="1"/>
  </cols>
  <sheetData>
    <row r="2" spans="4:12" ht="18" x14ac:dyDescent="0.35">
      <c r="D2" s="15" t="s">
        <v>31</v>
      </c>
      <c r="F2" s="15" t="s">
        <v>32</v>
      </c>
      <c r="H2" s="15" t="s">
        <v>33</v>
      </c>
      <c r="J2" s="15" t="s">
        <v>34</v>
      </c>
      <c r="L2" s="15" t="s">
        <v>48</v>
      </c>
    </row>
    <row r="3" spans="4:12" ht="18" x14ac:dyDescent="0.35">
      <c r="D3" s="10">
        <v>1452</v>
      </c>
      <c r="F3" s="10" t="s">
        <v>35</v>
      </c>
      <c r="H3" s="14">
        <v>45945</v>
      </c>
      <c r="J3" s="10" t="s">
        <v>43</v>
      </c>
      <c r="L3" s="10" t="s">
        <v>43</v>
      </c>
    </row>
    <row r="4" spans="4:12" ht="18" x14ac:dyDescent="0.35">
      <c r="D4" s="10">
        <v>2665</v>
      </c>
      <c r="F4" s="10" t="s">
        <v>36</v>
      </c>
      <c r="H4" s="14">
        <v>45413</v>
      </c>
      <c r="J4" s="10" t="s">
        <v>44</v>
      </c>
      <c r="L4" s="10" t="s">
        <v>44</v>
      </c>
    </row>
    <row r="5" spans="4:12" ht="18" x14ac:dyDescent="0.35">
      <c r="D5" s="10">
        <v>98421</v>
      </c>
      <c r="F5" s="10" t="s">
        <v>37</v>
      </c>
      <c r="H5" s="14">
        <v>44881</v>
      </c>
      <c r="J5" s="10" t="s">
        <v>45</v>
      </c>
      <c r="L5" s="10" t="s">
        <v>45</v>
      </c>
    </row>
    <row r="6" spans="4:12" ht="18" x14ac:dyDescent="0.35">
      <c r="D6" s="10">
        <v>23214</v>
      </c>
      <c r="F6" s="10" t="s">
        <v>38</v>
      </c>
      <c r="H6" s="14">
        <v>44349</v>
      </c>
      <c r="J6" s="10" t="s">
        <v>43</v>
      </c>
      <c r="L6" s="10" t="s">
        <v>46</v>
      </c>
    </row>
    <row r="7" spans="4:12" ht="18" x14ac:dyDescent="0.35">
      <c r="D7" s="10">
        <v>2225</v>
      </c>
      <c r="F7" s="10" t="s">
        <v>39</v>
      </c>
      <c r="H7" s="14">
        <v>43817</v>
      </c>
      <c r="J7" s="10" t="s">
        <v>46</v>
      </c>
      <c r="L7" s="10" t="s">
        <v>47</v>
      </c>
    </row>
    <row r="8" spans="4:12" ht="18" x14ac:dyDescent="0.35">
      <c r="D8" s="10">
        <v>221</v>
      </c>
      <c r="F8" s="10" t="s">
        <v>40</v>
      </c>
      <c r="H8" s="14">
        <v>43285</v>
      </c>
      <c r="J8" s="10" t="s">
        <v>47</v>
      </c>
    </row>
    <row r="9" spans="4:12" ht="18" x14ac:dyDescent="0.35">
      <c r="D9" s="10">
        <v>5522</v>
      </c>
      <c r="F9" s="10" t="s">
        <v>41</v>
      </c>
      <c r="H9" s="14">
        <v>42753</v>
      </c>
      <c r="J9" s="10" t="s">
        <v>44</v>
      </c>
    </row>
    <row r="10" spans="4:12" ht="18" x14ac:dyDescent="0.35">
      <c r="D10" s="10">
        <v>3666</v>
      </c>
      <c r="F10" s="10" t="s">
        <v>42</v>
      </c>
      <c r="H10" s="14">
        <v>42221</v>
      </c>
      <c r="J10" s="10" t="s">
        <v>45</v>
      </c>
    </row>
  </sheetData>
  <conditionalFormatting sqref="D3:D10">
    <cfRule type="cellIs" dxfId="5" priority="5" operator="greaterThan">
      <formula>5000</formula>
    </cfRule>
  </conditionalFormatting>
  <conditionalFormatting sqref="F3:F10">
    <cfRule type="containsText" dxfId="4" priority="3" operator="containsText" text="C">
      <formula>NOT(ISERROR(SEARCH("C",F3)))</formula>
    </cfRule>
  </conditionalFormatting>
  <conditionalFormatting sqref="J3:J10">
    <cfRule type="duplicateValues" dxfId="1" priority="2"/>
  </conditionalFormatting>
  <conditionalFormatting sqref="L3:L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Formato</vt:lpstr>
      <vt:lpstr>Formato Condicional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Gustavo Palacios</cp:lastModifiedBy>
  <dcterms:created xsi:type="dcterms:W3CDTF">2021-06-17T13:29:11Z</dcterms:created>
  <dcterms:modified xsi:type="dcterms:W3CDTF">2025-12-15T14:55:58Z</dcterms:modified>
</cp:coreProperties>
</file>