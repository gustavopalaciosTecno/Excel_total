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AF1280F-FADC-4BE1-8CD9-C50A6648E267}" xr6:coauthVersionLast="46" xr6:coauthVersionMax="46" xr10:uidLastSave="{00000000-0000-0000-0000-000000000000}"/>
  <bookViews>
    <workbookView xWindow="-120" yWindow="-120" windowWidth="20730" windowHeight="1116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4" l="1"/>
  <c r="N9" i="4"/>
  <c r="N10" i="4"/>
  <c r="N11" i="4"/>
  <c r="N12" i="4"/>
  <c r="N13" i="4"/>
  <c r="N7" i="4"/>
  <c r="K7" i="3"/>
  <c r="I7" i="3"/>
  <c r="H7" i="3"/>
  <c r="G7" i="3"/>
  <c r="F7" i="3"/>
  <c r="E7" i="3"/>
  <c r="D7" i="3"/>
  <c r="C7" i="3"/>
  <c r="I6" i="3"/>
  <c r="H6" i="3"/>
  <c r="G6" i="3"/>
  <c r="F6" i="3"/>
  <c r="E6" i="3"/>
  <c r="D6" i="3"/>
  <c r="C6" i="3"/>
  <c r="C5" i="3"/>
  <c r="O14" i="4"/>
  <c r="O8" i="4"/>
  <c r="O9" i="4"/>
  <c r="O10" i="4"/>
  <c r="O11" i="4"/>
  <c r="O12" i="4"/>
  <c r="O13" i="4"/>
  <c r="O7" i="4"/>
  <c r="N14" i="4" l="1"/>
  <c r="K6" i="3" s="1"/>
  <c r="K5" i="3"/>
  <c r="I5" i="3"/>
  <c r="H5" i="3"/>
  <c r="G5" i="3"/>
  <c r="F5" i="3"/>
  <c r="E5" i="3"/>
  <c r="D5" i="3"/>
  <c r="L14" i="4"/>
  <c r="L8" i="4"/>
  <c r="L9" i="4"/>
  <c r="L10" i="4"/>
  <c r="L11" i="4"/>
  <c r="L12" i="4"/>
  <c r="L13" i="4"/>
  <c r="L7" i="4"/>
  <c r="K7" i="4"/>
  <c r="I2" i="3" l="1"/>
  <c r="C2" i="3"/>
  <c r="I13" i="4" l="1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C4" i="3" l="1"/>
  <c r="H4" i="3"/>
  <c r="K12" i="4"/>
  <c r="G4" i="3"/>
  <c r="K11" i="4"/>
  <c r="K10" i="4"/>
  <c r="F4" i="3"/>
  <c r="K8" i="4"/>
  <c r="D4" i="3"/>
  <c r="I4" i="3"/>
  <c r="K13" i="4"/>
  <c r="K9" i="4"/>
  <c r="E4" i="3"/>
  <c r="J14" i="4"/>
  <c r="K14" i="4" l="1"/>
  <c r="K4" i="3" s="1"/>
</calcChain>
</file>

<file path=xl/sharedStrings.xml><?xml version="1.0" encoding="utf-8"?>
<sst xmlns="http://schemas.openxmlformats.org/spreadsheetml/2006/main" count="69" uniqueCount="48">
  <si>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</si>
  <si>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</si>
  <si>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</si>
  <si>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</si>
  <si>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</si>
  <si>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</si>
  <si>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</si>
  <si>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</si>
  <si>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</si>
  <si>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</si>
  <si>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</si>
  <si>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</si>
  <si>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</si>
  <si>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</si>
  <si>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</si>
  <si>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</si>
  <si>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</si>
  <si>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</si>
  <si>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</si>
  <si>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</si>
  <si>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</si>
  <si>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</si>
  <si>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</si>
  <si>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</si>
  <si>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</si>
  <si>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</si>
  <si>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</si>
  <si>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</si>
  <si>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</si>
  <si>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</si>
  <si>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</si>
  <si>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</si>
  <si>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</si>
  <si>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</si>
  <si>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</si>
  <si>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</si>
  <si>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</si>
  <si>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</si>
  <si>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</si>
  <si>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</si>
  <si>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</si>
  <si>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RESTA</t>
  </si>
  <si>
    <t>Final</t>
  </si>
  <si>
    <t>Hora Fracción</t>
  </si>
  <si>
    <t>TOTAL</t>
  </si>
  <si>
    <t>Federico</t>
  </si>
  <si>
    <t>lUZ Fracción</t>
  </si>
  <si>
    <t>Extra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</si>
</sst>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dd\ dd\ &quot;de&quot;\ mmmm\ &quot;de&quot;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/>
    <xf numFmtId="4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1" xfId="0" applyFill="1" applyBorder="1"/>
    <xf numFmtId="0" fontId="6" fillId="0" borderId="0" xfId="0" applyFont="1" applyFill="1"/>
    <xf numFmtId="0" fontId="6" fillId="6" borderId="1" xfId="0" applyFont="1" applyFill="1" applyBorder="1"/>
    <xf numFmtId="0" fontId="6" fillId="0" borderId="0" xfId="0" applyFont="1"/>
    <xf numFmtId="44" fontId="6" fillId="0" borderId="1" xfId="0" applyNumberFormat="1" applyFont="1" applyFill="1" applyBorder="1"/>
    <xf numFmtId="44" fontId="0" fillId="0" borderId="0" xfId="1" applyFont="1"/>
    <xf numFmtId="0" fontId="0" fillId="5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20" fontId="0" fillId="0" borderId="9" xfId="0" applyNumberFormat="1" applyBorder="1"/>
    <xf numFmtId="20" fontId="0" fillId="4" borderId="0" xfId="0" applyNumberFormat="1" applyFill="1" applyBorder="1"/>
    <xf numFmtId="44" fontId="0" fillId="0" borderId="0" xfId="0" applyNumberFormat="1" applyBorder="1"/>
    <xf numFmtId="44" fontId="0" fillId="0" borderId="10" xfId="1" applyFont="1" applyBorder="1"/>
    <xf numFmtId="20" fontId="0" fillId="0" borderId="11" xfId="0" applyNumberFormat="1" applyBorder="1"/>
    <xf numFmtId="20" fontId="0" fillId="4" borderId="12" xfId="0" applyNumberFormat="1" applyFill="1" applyBorder="1"/>
    <xf numFmtId="44" fontId="0" fillId="0" borderId="12" xfId="0" applyNumberFormat="1" applyBorder="1"/>
    <xf numFmtId="44" fontId="0" fillId="0" borderId="13" xfId="1" applyFont="1" applyBorder="1"/>
    <xf numFmtId="20" fontId="2" fillId="0" borderId="0" xfId="0" applyNumberFormat="1" applyFont="1"/>
    <xf numFmtId="44" fontId="2" fillId="0" borderId="0" xfId="0" applyNumberFormat="1" applyFont="1"/>
    <xf numFmtId="44" fontId="2" fillId="0" borderId="0" xfId="1" applyFont="1"/>
    <xf numFmtId="2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44" fontId="0" fillId="0" borderId="9" xfId="1" applyFont="1" applyBorder="1"/>
    <xf numFmtId="44" fontId="0" fillId="0" borderId="11" xfId="1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O22"/>
  <sheetViews>
    <sheetView tabSelected="1" workbookViewId="0">
      <selection activeCell="N7" sqref="N7"/>
    </sheetView>
  </sheetViews>
  <sheetFormatPr baseColWidth="10" defaultRowHeight="15" x14ac:dyDescent="0.25"/>
  <cols>
    <col min="1" max="1" width="2.140625" customWidth="1"/>
    <col min="10" max="10" width="22.85546875" customWidth="1"/>
    <col min="11" max="11" width="12" bestFit="1" customWidth="1"/>
    <col min="12" max="12" width="11.42578125" style="17"/>
    <col min="13" max="13" width="2.85546875" customWidth="1"/>
  </cols>
  <sheetData>
    <row r="2" spans="2:15" x14ac:dyDescent="0.25">
      <c r="B2" s="9" t="s">
        <v>40</v>
      </c>
      <c r="C2" s="39" t="s">
        <v>45</v>
      </c>
      <c r="D2" s="39"/>
      <c r="E2" s="39"/>
      <c r="F2" s="39"/>
      <c r="G2" s="39"/>
    </row>
    <row r="3" spans="2:15" x14ac:dyDescent="0.25">
      <c r="B3" s="9" t="s">
        <v>39</v>
      </c>
      <c r="C3" s="38">
        <v>44007</v>
      </c>
      <c r="D3" s="38"/>
      <c r="E3" s="38"/>
      <c r="F3" s="38"/>
      <c r="G3" s="38"/>
    </row>
    <row r="5" spans="2:15" x14ac:dyDescent="0.25">
      <c r="C5" s="42" t="s">
        <v>38</v>
      </c>
      <c r="D5" s="43"/>
      <c r="E5" s="44" t="s">
        <v>37</v>
      </c>
      <c r="F5" s="44"/>
      <c r="G5" s="44"/>
    </row>
    <row r="6" spans="2:15" x14ac:dyDescent="0.25">
      <c r="C6" s="10" t="s">
        <v>36</v>
      </c>
      <c r="D6" s="10" t="s">
        <v>35</v>
      </c>
      <c r="E6" s="11" t="s">
        <v>4</v>
      </c>
      <c r="F6" s="11" t="s">
        <v>9</v>
      </c>
      <c r="G6" s="11" t="s">
        <v>34</v>
      </c>
      <c r="I6" s="18" t="s">
        <v>41</v>
      </c>
      <c r="J6" s="19" t="s">
        <v>42</v>
      </c>
      <c r="K6" s="20" t="s">
        <v>44</v>
      </c>
      <c r="L6" s="21" t="s">
        <v>47</v>
      </c>
      <c r="N6" s="18" t="s">
        <v>4</v>
      </c>
      <c r="O6" s="21" t="s">
        <v>9</v>
      </c>
    </row>
    <row r="7" spans="2:15" x14ac:dyDescent="0.25">
      <c r="B7" s="8" t="s">
        <v>33</v>
      </c>
      <c r="C7" s="7">
        <v>0.375</v>
      </c>
      <c r="D7" s="6">
        <v>0.4375</v>
      </c>
      <c r="E7" s="5" t="s">
        <v>6</v>
      </c>
      <c r="F7" s="5" t="s">
        <v>10</v>
      </c>
      <c r="G7" s="5">
        <v>10</v>
      </c>
      <c r="I7" s="22">
        <f t="shared" ref="I7:I13" si="0">D7-C7</f>
        <v>6.25E-2</v>
      </c>
      <c r="J7" s="23">
        <f>IF(HOUR(I7)&lt;1,_xlfn.CEILING.MATH(I7,"01:00"),_xlfn.CEILING.MATH(I7,"00:10"))</f>
        <v>6.25E-2</v>
      </c>
      <c r="K7" s="24">
        <f>((HOUR(J7)*'Lista de Precios'!$C$5)+(MINUTE(J7)/10*'Lista de Precios'!$E$5))*G7</f>
        <v>1450</v>
      </c>
      <c r="L7" s="25">
        <f xml:space="preserve">   IF(C7&gt;0.75,          ((HOUR(J7)*'Lista de Precios'!$D$5)+(MINUTE(J7)/10*'Lista de Precios'!$F$5))*G7, 0)</f>
        <v>0</v>
      </c>
      <c r="N7" s="36">
        <f>IF(E7='Lista de Precios'!$C$6,'Lista de Precios'!$C$7,IF(E7='Lista de Precios'!$D$6,'Lista de Precios'!$D$7,IF(E7='Lista de Precios'!$E$6,'Lista de Precios'!$E$7,IF(E7='Lista de Precios'!$F$6,'Lista de Precios'!$F$7,0))))*G7</f>
        <v>300</v>
      </c>
      <c r="O7" s="25">
        <f>IF(F7='Lista de Precios'!$C$8,'Lista de Precios'!$C$9,IF(F7='Lista de Precios'!$D$8,'Lista de Precios'!$D$9,IF(F7='Lista de Precios'!$E$8,'Lista de Precios'!$E$9,IF(F7='Lista de Precios'!$F$8,'Lista de Precios'!$F$9,IF(F7='Lista de Precios'!$G$8,'Lista de Precios'!$G$9,0)))))*Ingreso!G7</f>
        <v>900</v>
      </c>
    </row>
    <row r="8" spans="2:15" x14ac:dyDescent="0.25">
      <c r="B8" s="8" t="s">
        <v>32</v>
      </c>
      <c r="C8" s="7">
        <v>0.44791666666666669</v>
      </c>
      <c r="D8" s="6">
        <v>0.49583333333333335</v>
      </c>
      <c r="E8" s="5" t="s">
        <v>7</v>
      </c>
      <c r="F8" s="5" t="s">
        <v>6</v>
      </c>
      <c r="G8" s="5">
        <v>12</v>
      </c>
      <c r="I8" s="22">
        <f t="shared" si="0"/>
        <v>4.7916666666666663E-2</v>
      </c>
      <c r="J8" s="23">
        <f t="shared" ref="J8:J13" si="1">IF(HOUR(I8)&lt;1,_xlfn.CEILING.MATH(I8,"01:00"),_xlfn.CEILING.MATH(I8,"00:10"))</f>
        <v>4.8611111111111105E-2</v>
      </c>
      <c r="K8" s="24">
        <f>((HOUR(J8)*'Lista de Precios'!$C$5)+(MINUTE(J8)/10*'Lista de Precios'!$E$5))*G8</f>
        <v>1380</v>
      </c>
      <c r="L8" s="25">
        <f xml:space="preserve">   IF(C8&gt;0.75,          ((HOUR(J8)*'Lista de Precios'!$D$5)+(MINUTE(J8)/10*'Lista de Precios'!$F$5))*G8, 0)</f>
        <v>0</v>
      </c>
      <c r="N8" s="36">
        <f>IF(E8='Lista de Precios'!$C$6,'Lista de Precios'!$C$7,IF(E8='Lista de Precios'!$D$6,'Lista de Precios'!$D$7,IF(E8='Lista de Precios'!$E$6,'Lista de Precios'!$E$7,IF(E8='Lista de Precios'!$F$6,'Lista de Precios'!$F$7,0))))*G8</f>
        <v>720</v>
      </c>
      <c r="O8" s="25">
        <f>IF(F8='Lista de Precios'!$C$8,'Lista de Precios'!$C$9,IF(F8='Lista de Precios'!$D$8,'Lista de Precios'!$D$9,IF(F8='Lista de Precios'!$E$8,'Lista de Precios'!$E$9,IF(F8='Lista de Precios'!$F$8,'Lista de Precios'!$F$9,IF(F8='Lista de Precios'!$G$8,'Lista de Precios'!$G$9,0)))))*Ingreso!G8</f>
        <v>1320</v>
      </c>
    </row>
    <row r="9" spans="2:15" x14ac:dyDescent="0.25">
      <c r="B9" s="8" t="s">
        <v>31</v>
      </c>
      <c r="C9" s="7">
        <v>0.50069444444444444</v>
      </c>
      <c r="D9" s="6">
        <v>0.53055555555555556</v>
      </c>
      <c r="E9" s="5" t="s">
        <v>5</v>
      </c>
      <c r="F9" s="5" t="s">
        <v>5</v>
      </c>
      <c r="G9" s="5">
        <v>11</v>
      </c>
      <c r="I9" s="22">
        <f t="shared" si="0"/>
        <v>2.9861111111111116E-2</v>
      </c>
      <c r="J9" s="23">
        <f t="shared" si="1"/>
        <v>4.1666666666666664E-2</v>
      </c>
      <c r="K9" s="24">
        <f>((HOUR(J9)*'Lista de Precios'!$C$5)+(MINUTE(J9)/10*'Lista de Precios'!$E$5))*G9</f>
        <v>1100</v>
      </c>
      <c r="L9" s="25">
        <f xml:space="preserve">   IF(C9&gt;0.75,          ((HOUR(J9)*'Lista de Precios'!$D$5)+(MINUTE(J9)/10*'Lista de Precios'!$F$5))*G9, 0)</f>
        <v>0</v>
      </c>
      <c r="N9" s="36">
        <f>IF(E9='Lista de Precios'!$C$6,'Lista de Precios'!$C$7,IF(E9='Lista de Precios'!$D$6,'Lista de Precios'!$D$7,IF(E9='Lista de Precios'!$E$6,'Lista de Precios'!$E$7,IF(E9='Lista de Precios'!$F$6,'Lista de Precios'!$F$7,0))))*G9</f>
        <v>0</v>
      </c>
      <c r="O9" s="25">
        <f>IF(F9='Lista de Precios'!$C$8,'Lista de Precios'!$C$9,IF(F9='Lista de Precios'!$D$8,'Lista de Precios'!$D$9,IF(F9='Lista de Precios'!$E$8,'Lista de Precios'!$E$9,IF(F9='Lista de Precios'!$F$8,'Lista de Precios'!$F$9,IF(F9='Lista de Precios'!$G$8,'Lista de Precios'!$G$9,0)))))*Ingreso!G9</f>
        <v>0</v>
      </c>
    </row>
    <row r="10" spans="2:15" x14ac:dyDescent="0.25">
      <c r="B10" s="8" t="s">
        <v>30</v>
      </c>
      <c r="C10" s="7">
        <v>0.55555555555555558</v>
      </c>
      <c r="D10" s="6">
        <v>0.63958333333333328</v>
      </c>
      <c r="E10" s="5" t="s">
        <v>7</v>
      </c>
      <c r="F10" s="5" t="s">
        <v>11</v>
      </c>
      <c r="G10" s="5">
        <v>15</v>
      </c>
      <c r="I10" s="22">
        <f t="shared" si="0"/>
        <v>8.4027777777777701E-2</v>
      </c>
      <c r="J10" s="23">
        <f t="shared" si="1"/>
        <v>9.0277777777777776E-2</v>
      </c>
      <c r="K10" s="24">
        <f>((HOUR(J10)*'Lista de Precios'!$C$5)+(MINUTE(J10)/10*'Lista de Precios'!$E$5))*G10</f>
        <v>3225</v>
      </c>
      <c r="L10" s="25">
        <f xml:space="preserve">   IF(C10&gt;0.75,          ((HOUR(J10)*'Lista de Precios'!$D$5)+(MINUTE(J10)/10*'Lista de Precios'!$F$5))*G10, 0)</f>
        <v>0</v>
      </c>
      <c r="N10" s="36">
        <f>IF(E10='Lista de Precios'!$C$6,'Lista de Precios'!$C$7,IF(E10='Lista de Precios'!$D$6,'Lista de Precios'!$D$7,IF(E10='Lista de Precios'!$E$6,'Lista de Precios'!$E$7,IF(E10='Lista de Precios'!$F$6,'Lista de Precios'!$F$7,0))))*G10</f>
        <v>900</v>
      </c>
      <c r="O10" s="25">
        <f>IF(F10='Lista de Precios'!$C$8,'Lista de Precios'!$C$9,IF(F10='Lista de Precios'!$D$8,'Lista de Precios'!$D$9,IF(F10='Lista de Precios'!$E$8,'Lista de Precios'!$E$9,IF(F10='Lista de Precios'!$F$8,'Lista de Precios'!$F$9,IF(F10='Lista de Precios'!$G$8,'Lista de Precios'!$G$9,0)))))*Ingreso!G10</f>
        <v>1950</v>
      </c>
    </row>
    <row r="11" spans="2:15" x14ac:dyDescent="0.25">
      <c r="B11" s="8" t="s">
        <v>29</v>
      </c>
      <c r="C11" s="7">
        <v>0.64583333333333337</v>
      </c>
      <c r="D11" s="6">
        <v>0.75347222222222221</v>
      </c>
      <c r="E11" s="5" t="s">
        <v>8</v>
      </c>
      <c r="F11" s="5" t="s">
        <v>11</v>
      </c>
      <c r="G11" s="5">
        <v>13</v>
      </c>
      <c r="I11" s="22">
        <f t="shared" si="0"/>
        <v>0.10763888888888884</v>
      </c>
      <c r="J11" s="23">
        <f t="shared" si="1"/>
        <v>0.1111111111111111</v>
      </c>
      <c r="K11" s="24">
        <f>((HOUR(J11)*'Lista de Precios'!$C$5)+(MINUTE(J11)/10*'Lista de Precios'!$E$5))*G11</f>
        <v>3380</v>
      </c>
      <c r="L11" s="25">
        <f xml:space="preserve">   IF(C11&gt;0.75,          ((HOUR(J11)*'Lista de Precios'!$D$5)+(MINUTE(J11)/10*'Lista de Precios'!$F$5))*G11, 0)</f>
        <v>0</v>
      </c>
      <c r="N11" s="36">
        <f>IF(E11='Lista de Precios'!$C$6,'Lista de Precios'!$C$7,IF(E11='Lista de Precios'!$D$6,'Lista de Precios'!$D$7,IF(E11='Lista de Precios'!$E$6,'Lista de Precios'!$E$7,IF(E11='Lista de Precios'!$F$6,'Lista de Precios'!$F$7,0))))*G11</f>
        <v>1560</v>
      </c>
      <c r="O11" s="25">
        <f>IF(F11='Lista de Precios'!$C$8,'Lista de Precios'!$C$9,IF(F11='Lista de Precios'!$D$8,'Lista de Precios'!$D$9,IF(F11='Lista de Precios'!$E$8,'Lista de Precios'!$E$9,IF(F11='Lista de Precios'!$F$8,'Lista de Precios'!$F$9,IF(F11='Lista de Precios'!$G$8,'Lista de Precios'!$G$9,0)))))*Ingreso!G11</f>
        <v>1690</v>
      </c>
    </row>
    <row r="12" spans="2:15" x14ac:dyDescent="0.25">
      <c r="B12" s="8" t="s">
        <v>28</v>
      </c>
      <c r="C12" s="7">
        <v>0.79166666666666663</v>
      </c>
      <c r="D12" s="6">
        <v>0.83958333333333324</v>
      </c>
      <c r="E12" s="5" t="s">
        <v>6</v>
      </c>
      <c r="F12" s="5" t="s">
        <v>12</v>
      </c>
      <c r="G12" s="5">
        <v>10</v>
      </c>
      <c r="I12" s="22">
        <f t="shared" si="0"/>
        <v>4.7916666666666607E-2</v>
      </c>
      <c r="J12" s="23">
        <f t="shared" si="1"/>
        <v>4.8611111111111105E-2</v>
      </c>
      <c r="K12" s="24">
        <f>((HOUR(J12)*'Lista de Precios'!$C$5)+(MINUTE(J12)/10*'Lista de Precios'!$E$5))*G12</f>
        <v>1150</v>
      </c>
      <c r="L12" s="25">
        <f xml:space="preserve">   IF(C12&gt;0.75,          ((HOUR(J12)*'Lista de Precios'!$D$5)+(MINUTE(J12)/10*'Lista de Precios'!$F$5))*G12, 0)</f>
        <v>95</v>
      </c>
      <c r="N12" s="36">
        <f>IF(E12='Lista de Precios'!$C$6,'Lista de Precios'!$C$7,IF(E12='Lista de Precios'!$D$6,'Lista de Precios'!$D$7,IF(E12='Lista de Precios'!$E$6,'Lista de Precios'!$E$7,IF(E12='Lista de Precios'!$F$6,'Lista de Precios'!$F$7,0))))*G12</f>
        <v>300</v>
      </c>
      <c r="O12" s="25">
        <f>IF(F12='Lista de Precios'!$C$8,'Lista de Precios'!$C$9,IF(F12='Lista de Precios'!$D$8,'Lista de Precios'!$D$9,IF(F12='Lista de Precios'!$E$8,'Lista de Precios'!$E$9,IF(F12='Lista de Precios'!$F$8,'Lista de Precios'!$F$9,IF(F12='Lista de Precios'!$G$8,'Lista de Precios'!$G$9,0)))))*Ingreso!G12</f>
        <v>1850</v>
      </c>
    </row>
    <row r="13" spans="2:15" x14ac:dyDescent="0.25">
      <c r="B13" s="8" t="s">
        <v>27</v>
      </c>
      <c r="C13" s="7">
        <v>0.875</v>
      </c>
      <c r="D13" s="6">
        <v>0.9375</v>
      </c>
      <c r="E13" s="5" t="s">
        <v>5</v>
      </c>
      <c r="F13" s="5" t="s">
        <v>5</v>
      </c>
      <c r="G13" s="5">
        <v>14</v>
      </c>
      <c r="I13" s="26">
        <f t="shared" si="0"/>
        <v>6.25E-2</v>
      </c>
      <c r="J13" s="27">
        <f t="shared" si="1"/>
        <v>6.25E-2</v>
      </c>
      <c r="K13" s="28">
        <f>((HOUR(J13)*'Lista de Precios'!$C$5)+(MINUTE(J13)/10*'Lista de Precios'!$E$5))*G13</f>
        <v>2030</v>
      </c>
      <c r="L13" s="29">
        <f xml:space="preserve">   IF(C13&gt;0.75,          ((HOUR(J13)*'Lista de Precios'!$D$5)+(MINUTE(J13)/10*'Lista de Precios'!$F$5))*G13, 0)</f>
        <v>175</v>
      </c>
      <c r="N13" s="37">
        <f>IF(E13='Lista de Precios'!$C$6,'Lista de Precios'!$C$7,IF(E13='Lista de Precios'!$D$6,'Lista de Precios'!$D$7,IF(E13='Lista de Precios'!$E$6,'Lista de Precios'!$E$7,IF(E13='Lista de Precios'!$F$6,'Lista de Precios'!$F$7,0))))*G13</f>
        <v>0</v>
      </c>
      <c r="O13" s="29">
        <f>IF(F13='Lista de Precios'!$C$8,'Lista de Precios'!$C$9,IF(F13='Lista de Precios'!$D$8,'Lista de Precios'!$D$9,IF(F13='Lista de Precios'!$E$8,'Lista de Precios'!$E$9,IF(F13='Lista de Precios'!$F$8,'Lista de Precios'!$F$9,IF(F13='Lista de Precios'!$G$8,'Lista de Precios'!$G$9,0)))))*Ingreso!G13</f>
        <v>0</v>
      </c>
    </row>
    <row r="14" spans="2:15" x14ac:dyDescent="0.25">
      <c r="J14" s="30">
        <f>SUM(J7:J13)</f>
        <v>0.46527777777777773</v>
      </c>
      <c r="K14" s="31">
        <f>SUM(K7:K13)</f>
        <v>13715</v>
      </c>
      <c r="L14" s="32">
        <f>SUM(L7:L13)</f>
        <v>270</v>
      </c>
      <c r="N14" s="32">
        <f>SUM(N7:N13)</f>
        <v>3780</v>
      </c>
      <c r="O14" s="32">
        <f>SUM(O7:O13)</f>
        <v>7710</v>
      </c>
    </row>
    <row r="15" spans="2:15" x14ac:dyDescent="0.25">
      <c r="B15" s="45" t="s">
        <v>26</v>
      </c>
      <c r="C15" s="45"/>
      <c r="D15" s="45"/>
      <c r="E15" s="45"/>
      <c r="F15" s="45"/>
      <c r="G15" s="45"/>
    </row>
    <row r="16" spans="2:15" x14ac:dyDescent="0.25">
      <c r="B16" s="46"/>
      <c r="C16" s="46"/>
      <c r="D16" s="46"/>
      <c r="E16" s="46"/>
      <c r="F16" s="46"/>
      <c r="G16" s="46"/>
    </row>
    <row r="17" spans="2:7" x14ac:dyDescent="0.25">
      <c r="B17" s="46"/>
      <c r="C17" s="46"/>
      <c r="D17" s="46"/>
      <c r="E17" s="46"/>
      <c r="F17" s="46"/>
      <c r="G17" s="46"/>
    </row>
    <row r="18" spans="2:7" x14ac:dyDescent="0.25">
      <c r="B18" s="40"/>
      <c r="C18" s="40"/>
      <c r="D18" s="40"/>
      <c r="E18" s="41" t="s">
        <v>25</v>
      </c>
      <c r="F18" s="41"/>
      <c r="G18" s="41"/>
    </row>
    <row r="19" spans="2:7" x14ac:dyDescent="0.25">
      <c r="B19" s="40"/>
      <c r="C19" s="40"/>
      <c r="D19" s="40"/>
      <c r="E19" s="41"/>
      <c r="F19" s="41"/>
      <c r="G19" s="41"/>
    </row>
    <row r="20" spans="2:7" x14ac:dyDescent="0.25">
      <c r="B20" s="40"/>
      <c r="C20" s="40"/>
      <c r="D20" s="40"/>
      <c r="E20" s="41"/>
      <c r="F20" s="41"/>
      <c r="G20" s="41"/>
    </row>
    <row r="21" spans="2:7" x14ac:dyDescent="0.25">
      <c r="B21" s="40"/>
      <c r="C21" s="40"/>
      <c r="D21" s="40"/>
      <c r="E21" s="41"/>
      <c r="F21" s="41"/>
      <c r="G21" s="41"/>
    </row>
    <row r="22" spans="2:7" x14ac:dyDescent="0.25">
      <c r="B22" s="40"/>
      <c r="C22" s="40"/>
      <c r="D22" s="40"/>
      <c r="E22" s="41"/>
      <c r="F22" s="41"/>
      <c r="G22" s="41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2AE3F7-CB26-4FBA-994A-328FD9B75D25}">
          <x14:formula1>
            <xm:f>'Lista de Precios'!$C$6:$F$6</xm:f>
          </x14:formula1>
          <xm:sqref>E7:E13</xm:sqref>
        </x14:dataValidation>
        <x14:dataValidation type="list" allowBlank="1" showInputMessage="1" showErrorMessage="1" xr:uid="{52149957-6A67-41B0-B6F2-E4A559ABE988}">
          <x14:formula1>
            <xm:f>'Lista de Precios'!$C$8:$G$8</xm:f>
          </x14:formula1>
          <xm:sqref>F7:F13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C9" sqref="C9"/>
    </sheetView>
  </sheetViews>
  <sheetFormatPr baseColWidth="10" defaultRowHeight="15" x14ac:dyDescent="0.25"/>
  <cols>
    <col min="2" max="2" width="24.7109375" customWidth="1"/>
    <col min="5" max="5" width="12.85546875" bestFit="1" customWidth="1"/>
  </cols>
  <sheetData>
    <row r="2" spans="2:7" ht="23.25" x14ac:dyDescent="0.35">
      <c r="B2" s="49" t="s">
        <v>0</v>
      </c>
      <c r="C2" s="49"/>
      <c r="D2" s="49"/>
    </row>
    <row r="4" spans="2:7" x14ac:dyDescent="0.25">
      <c r="B4" s="48" t="s">
        <v>1</v>
      </c>
      <c r="C4" s="1" t="s">
        <v>2</v>
      </c>
      <c r="D4" s="1" t="s">
        <v>3</v>
      </c>
      <c r="E4" s="1" t="s">
        <v>43</v>
      </c>
      <c r="F4" s="1" t="s">
        <v>46</v>
      </c>
    </row>
    <row r="5" spans="2:7" x14ac:dyDescent="0.25">
      <c r="B5" s="48"/>
      <c r="C5" s="2">
        <v>100</v>
      </c>
      <c r="D5" s="2">
        <v>8</v>
      </c>
      <c r="E5" s="2">
        <v>15</v>
      </c>
      <c r="F5" s="2">
        <v>1.5</v>
      </c>
    </row>
    <row r="6" spans="2:7" x14ac:dyDescent="0.25">
      <c r="B6" s="48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48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48" t="s">
        <v>9</v>
      </c>
      <c r="C8" s="1" t="s">
        <v>5</v>
      </c>
      <c r="D8" s="1" t="s">
        <v>10</v>
      </c>
      <c r="E8" s="1" t="s">
        <v>6</v>
      </c>
      <c r="F8" s="1" t="s">
        <v>11</v>
      </c>
      <c r="G8" s="1" t="s">
        <v>12</v>
      </c>
    </row>
    <row r="9" spans="2:7" x14ac:dyDescent="0.25">
      <c r="B9" s="48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48" t="s">
        <v>13</v>
      </c>
      <c r="C10" s="1" t="s">
        <v>14</v>
      </c>
      <c r="D10" s="1" t="s">
        <v>15</v>
      </c>
      <c r="E10" s="1" t="s">
        <v>16</v>
      </c>
    </row>
    <row r="11" spans="2:7" x14ac:dyDescent="0.25">
      <c r="B11" s="48"/>
      <c r="C11" s="2">
        <v>0</v>
      </c>
      <c r="D11" s="2">
        <v>10</v>
      </c>
      <c r="E11" s="2">
        <v>15</v>
      </c>
    </row>
    <row r="13" spans="2:7" ht="23.25" x14ac:dyDescent="0.35">
      <c r="B13" s="50" t="s">
        <v>17</v>
      </c>
      <c r="C13" s="50"/>
      <c r="D13" s="50"/>
    </row>
    <row r="15" spans="2:7" x14ac:dyDescent="0.25">
      <c r="B15" s="3" t="s">
        <v>18</v>
      </c>
      <c r="C15" s="2">
        <v>160</v>
      </c>
    </row>
    <row r="16" spans="2:7" x14ac:dyDescent="0.25">
      <c r="B16" s="3" t="s">
        <v>19</v>
      </c>
      <c r="C16" s="2">
        <v>300</v>
      </c>
    </row>
    <row r="17" spans="2:5" x14ac:dyDescent="0.25">
      <c r="B17" s="3" t="s">
        <v>20</v>
      </c>
      <c r="C17" s="2">
        <v>100</v>
      </c>
    </row>
    <row r="18" spans="2:5" x14ac:dyDescent="0.25">
      <c r="B18" s="3" t="s">
        <v>21</v>
      </c>
      <c r="C18" s="2">
        <v>70</v>
      </c>
    </row>
    <row r="20" spans="2:5" x14ac:dyDescent="0.25">
      <c r="B20" s="47" t="s">
        <v>13</v>
      </c>
      <c r="C20" s="4" t="s">
        <v>22</v>
      </c>
      <c r="D20" s="4" t="s">
        <v>23</v>
      </c>
      <c r="E20" s="4" t="s">
        <v>24</v>
      </c>
    </row>
    <row r="21" spans="2:5" x14ac:dyDescent="0.25">
      <c r="B21" s="47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K8" sqref="K8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53" t="str">
        <f>Ingreso!C2</f>
        <v>Federico</v>
      </c>
      <c r="D2" s="53"/>
      <c r="E2" s="53"/>
      <c r="I2" s="52">
        <f>Ingreso!C3</f>
        <v>44007</v>
      </c>
      <c r="J2" s="52"/>
      <c r="K2" s="52"/>
    </row>
    <row r="3" spans="3:11" ht="20.25" customHeight="1" x14ac:dyDescent="0.25"/>
    <row r="4" spans="3:11" x14ac:dyDescent="0.25">
      <c r="C4" s="33">
        <f>Ingreso!J7</f>
        <v>6.25E-2</v>
      </c>
      <c r="D4" s="33">
        <f>Ingreso!J8</f>
        <v>4.8611111111111105E-2</v>
      </c>
      <c r="E4" s="33">
        <f>Ingreso!J9</f>
        <v>4.1666666666666664E-2</v>
      </c>
      <c r="F4" s="33">
        <f>Ingreso!J10</f>
        <v>9.0277777777777776E-2</v>
      </c>
      <c r="G4" s="33">
        <f>Ingreso!J11</f>
        <v>0.1111111111111111</v>
      </c>
      <c r="H4" s="33">
        <f>Ingreso!J12</f>
        <v>4.8611111111111105E-2</v>
      </c>
      <c r="I4" s="33">
        <f>Ingreso!J13</f>
        <v>6.25E-2</v>
      </c>
      <c r="J4" s="13"/>
      <c r="K4" s="16">
        <f>Ingreso!K14</f>
        <v>13715</v>
      </c>
    </row>
    <row r="5" spans="3:11" x14ac:dyDescent="0.25">
      <c r="C5" s="34" t="str">
        <f>IF(Ingreso!L7&gt;0,"Si","No")</f>
        <v>No</v>
      </c>
      <c r="D5" s="34" t="str">
        <f>IF(Ingreso!L8&gt;0,"Si","No")</f>
        <v>No</v>
      </c>
      <c r="E5" s="34" t="str">
        <f>IF(Ingreso!L9&gt;0,"Si","No")</f>
        <v>No</v>
      </c>
      <c r="F5" s="34" t="str">
        <f>IF(Ingreso!L10&gt;0,"Si","No")</f>
        <v>No</v>
      </c>
      <c r="G5" s="34" t="str">
        <f>IF(Ingreso!L11,"Si","No")</f>
        <v>No</v>
      </c>
      <c r="H5" s="34" t="str">
        <f>IF(Ingreso!L12&gt;0,"Si","No")</f>
        <v>Si</v>
      </c>
      <c r="I5" s="34" t="str">
        <f>IF(Ingreso!L13&gt;0,"Si","No")</f>
        <v>Si</v>
      </c>
      <c r="J5" s="13"/>
      <c r="K5" s="16">
        <f>Ingreso!L14</f>
        <v>270</v>
      </c>
    </row>
    <row r="6" spans="3:11" x14ac:dyDescent="0.25">
      <c r="C6" s="34" t="str">
        <f>IF(Ingreso!E7='Lista de Precios'!$C$6,"N",IF(Ingreso!E7='Lista de Precios'!$D$6,"B",IF(Ingreso!E7='Lista de Precios'!$E$6,"C",IF(Ingreso!E7='Lista de Precios'!$F$6,"P",""))))</f>
        <v>B</v>
      </c>
      <c r="D6" s="34" t="str">
        <f>IF(Ingreso!E8='Lista de Precios'!$C$6,"N",IF(Ingreso!E8='Lista de Precios'!$D$6,"B",IF(Ingreso!E8='Lista de Precios'!$E$6,"C",IF(Ingreso!E8='Lista de Precios'!$F$6,"P",""))))</f>
        <v>C</v>
      </c>
      <c r="E6" s="34" t="str">
        <f>IF(Ingreso!E9='Lista de Precios'!$C$6,"N",IF(Ingreso!E9='Lista de Precios'!$D$6,"B",IF(Ingreso!E9='Lista de Precios'!$E$6,"C",IF(Ingreso!E9='Lista de Precios'!$F$6,"P",""))))</f>
        <v>N</v>
      </c>
      <c r="F6" s="34" t="str">
        <f>IF(Ingreso!E10='Lista de Precios'!$C$6,"N",IF(Ingreso!E10='Lista de Precios'!$D$6,"B",IF(Ingreso!E10='Lista de Precios'!$E$6,"C",IF(Ingreso!E10='Lista de Precios'!$F$6,"P",""))))</f>
        <v>C</v>
      </c>
      <c r="G6" s="34" t="str">
        <f>IF(Ingreso!E11='Lista de Precios'!$C$6,"N",IF(Ingreso!E11='Lista de Precios'!$D$6,"B",IF(Ingreso!E11='Lista de Precios'!$E$6,"C",IF(Ingreso!E11='Lista de Precios'!$F$6,"P",""))))</f>
        <v>P</v>
      </c>
      <c r="H6" s="34" t="str">
        <f>IF(Ingreso!E12='Lista de Precios'!$C$6,"N",IF(Ingreso!E12='Lista de Precios'!$D$6,"B",IF(Ingreso!E12='Lista de Precios'!$E$6,"C",IF(Ingreso!E12='Lista de Precios'!$F$6,"P",""))))</f>
        <v>B</v>
      </c>
      <c r="I6" s="34" t="str">
        <f>IF(Ingreso!E13='Lista de Precios'!$C$6,"N",IF(Ingreso!E13='Lista de Precios'!$D$6,"B",IF(Ingreso!E13='Lista de Precios'!$E$6,"C",IF(Ingreso!E13='Lista de Precios'!$F$6,"P",""))))</f>
        <v>N</v>
      </c>
      <c r="J6" s="13"/>
      <c r="K6" s="16">
        <f>Ingreso!N14</f>
        <v>3780</v>
      </c>
    </row>
    <row r="7" spans="3:11" x14ac:dyDescent="0.25">
      <c r="C7" s="34" t="str">
        <f>IF(Ingreso!F7='Lista de Precios'!$C$8,"N",IF(Ingreso!F7='Lista de Precios'!$D$8,"M",IF(Ingreso!F7='Lista de Precios'!$E$8,"B",IF(Ingreso!F7='Lista de Precios'!$F$8,"A",IF(Ingreso!F7='Lista de Precios'!$G$8,"C","")))))</f>
        <v>M</v>
      </c>
      <c r="D7" s="34" t="str">
        <f>IF(Ingreso!F8='Lista de Precios'!$C$8,"N",IF(Ingreso!F8='Lista de Precios'!$D$8,"M",IF(Ingreso!F8='Lista de Precios'!$E$8,"B",IF(Ingreso!F8='Lista de Precios'!$F$8,"A",IF(Ingreso!F8='Lista de Precios'!$G$8,"C","")))))</f>
        <v>B</v>
      </c>
      <c r="E7" s="34" t="str">
        <f>IF(Ingreso!F9='Lista de Precios'!$C$8,"N",IF(Ingreso!F9='Lista de Precios'!$D$8,"M",IF(Ingreso!F9='Lista de Precios'!$E$8,"B",IF(Ingreso!F9='Lista de Precios'!$F$8,"A",IF(Ingreso!F9='Lista de Precios'!$G$8,"C","")))))</f>
        <v>N</v>
      </c>
      <c r="F7" s="34" t="str">
        <f>IF(Ingreso!F10='Lista de Precios'!$C$8,"N",IF(Ingreso!F10='Lista de Precios'!$D$8,"M",IF(Ingreso!F10='Lista de Precios'!$E$8,"B",IF(Ingreso!F10='Lista de Precios'!$F$8,"A",IF(Ingreso!F10='Lista de Precios'!$G$8,"C","")))))</f>
        <v>A</v>
      </c>
      <c r="G7" s="34" t="str">
        <f>IF(Ingreso!F11='Lista de Precios'!$C$8,"N",IF(Ingreso!F11='Lista de Precios'!$D$8,"M",IF(Ingreso!F11='Lista de Precios'!$E$8,"B",IF(Ingreso!F11='Lista de Precios'!$F$8,"A",IF(Ingreso!F11='Lista de Precios'!$G$8,"C","")))))</f>
        <v>A</v>
      </c>
      <c r="H7" s="34" t="str">
        <f>IF(Ingreso!F12='Lista de Precios'!$C$8,"N",IF(Ingreso!F12='Lista de Precios'!$D$8,"M",IF(Ingreso!F12='Lista de Precios'!$E$8,"B",IF(Ingreso!F12='Lista de Precios'!$F$8,"A",IF(Ingreso!F12='Lista de Precios'!$G$8,"C","")))))</f>
        <v>C</v>
      </c>
      <c r="I7" s="34" t="str">
        <f>IF(Ingreso!F13='Lista de Precios'!$C$8,"N",IF(Ingreso!F13='Lista de Precios'!$D$8,"M",IF(Ingreso!F13='Lista de Precios'!$E$8,"B",IF(Ingreso!F13='Lista de Precios'!$F$8,"A",IF(Ingreso!F13='Lista de Precios'!$G$8,"C","")))))</f>
        <v>N</v>
      </c>
      <c r="J7" s="13"/>
      <c r="K7" s="16">
        <f>Ingreso!O14</f>
        <v>7710</v>
      </c>
    </row>
    <row r="8" spans="3:11" x14ac:dyDescent="0.25">
      <c r="C8" s="35"/>
      <c r="D8" s="35"/>
      <c r="E8" s="35"/>
      <c r="F8" s="35"/>
      <c r="G8" s="35"/>
      <c r="H8" s="35"/>
      <c r="I8" s="35"/>
      <c r="J8" s="15"/>
      <c r="K8" s="14"/>
    </row>
    <row r="9" spans="3:11" x14ac:dyDescent="0.25">
      <c r="K9" s="12"/>
    </row>
    <row r="10" spans="3:11" ht="4.5" customHeight="1" x14ac:dyDescent="0.25"/>
    <row r="11" spans="3:11" x14ac:dyDescent="0.25">
      <c r="C11" s="51"/>
      <c r="D11" s="51"/>
      <c r="E11" s="51"/>
      <c r="K11" s="12"/>
    </row>
    <row r="12" spans="3:11" x14ac:dyDescent="0.25">
      <c r="C12" s="51"/>
      <c r="D12" s="51"/>
      <c r="E12" s="51"/>
      <c r="K12" s="12"/>
    </row>
    <row r="13" spans="3:11" x14ac:dyDescent="0.25">
      <c r="C13" s="51"/>
      <c r="D13" s="51"/>
      <c r="E13" s="51"/>
    </row>
    <row r="14" spans="3:11" x14ac:dyDescent="0.25">
      <c r="K14" s="12"/>
    </row>
    <row r="15" spans="3:11" ht="4.5" customHeight="1" x14ac:dyDescent="0.25"/>
    <row r="17" spans="2:11" x14ac:dyDescent="0.25"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spans="2:1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ht="6" customHeight="1" x14ac:dyDescent="0.25"/>
    <row r="21" spans="2:1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x14ac:dyDescent="0.25">
      <c r="C25" s="39"/>
      <c r="D25" s="39"/>
      <c r="E25" s="39"/>
      <c r="F25" s="39"/>
      <c r="G25" s="39"/>
      <c r="H25" s="39"/>
      <c r="I25" s="39"/>
      <c r="J25" s="39"/>
      <c r="K25" s="39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Usuario</cp:lastModifiedBy>
  <dcterms:created xsi:type="dcterms:W3CDTF">2020-07-02T17:13:41Z</dcterms:created>
  <dcterms:modified xsi:type="dcterms:W3CDTF">2021-05-01T16:16:14Z</dcterms:modified>
</cp:coreProperties>
</file>